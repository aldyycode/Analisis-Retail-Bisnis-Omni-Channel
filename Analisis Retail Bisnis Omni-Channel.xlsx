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dy\Documents\DATA ANALYST\MICROSOFT EXCEL\PORTOFOLIO\Analisis Retail Bisnis Omni-Channel\"/>
    </mc:Choice>
  </mc:AlternateContent>
  <xr:revisionPtr revIDLastSave="0" documentId="13_ncr:1_{55FAB447-721E-4F5D-A9D2-874A6AE0E43E}" xr6:coauthVersionLast="47" xr6:coauthVersionMax="47" xr10:uidLastSave="{00000000-0000-0000-0000-000000000000}"/>
  <bookViews>
    <workbookView xWindow="-120" yWindow="-120" windowWidth="20730" windowHeight="11760" activeTab="5" xr2:uid="{0FABD09F-C599-4D8F-AE1F-66CDC9C9D3DB}"/>
  </bookViews>
  <sheets>
    <sheet name="penjualan" sheetId="1" r:id="rId1"/>
    <sheet name="produk" sheetId="2" r:id="rId2"/>
    <sheet name="wilayah" sheetId="3" r:id="rId3"/>
    <sheet name="promo" sheetId="4" r:id="rId4"/>
    <sheet name="analisis" sheetId="6" r:id="rId5"/>
    <sheet name="soal" sheetId="5" r:id="rId6"/>
    <sheet name="dashboard" sheetId="7" r:id="rId7"/>
  </sheets>
  <calcPr calcId="191029"/>
  <pivotCaches>
    <pivotCache cacheId="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</calcChain>
</file>

<file path=xl/sharedStrings.xml><?xml version="1.0" encoding="utf-8"?>
<sst xmlns="http://schemas.openxmlformats.org/spreadsheetml/2006/main" count="2136" uniqueCount="603">
  <si>
    <t>ID_Transaksi</t>
  </si>
  <si>
    <t>Tanggal</t>
  </si>
  <si>
    <t>Kota</t>
  </si>
  <si>
    <t>SKU</t>
  </si>
  <si>
    <t>Jumlah_Unit</t>
  </si>
  <si>
    <t>Kode_Promo</t>
  </si>
  <si>
    <t>Nama_Produk</t>
  </si>
  <si>
    <t>Kategori</t>
  </si>
  <si>
    <t>Harga_Satuan</t>
  </si>
  <si>
    <t>HPP_Satuan</t>
  </si>
  <si>
    <t>Biaya_Kirim_Satuan</t>
  </si>
  <si>
    <t>Persentase_Diskon</t>
  </si>
  <si>
    <t>Total_Pendapatan_Kotor</t>
  </si>
  <si>
    <t>Potongan_Diskon</t>
  </si>
  <si>
    <t>Total_Pendapatan_Bersih</t>
  </si>
  <si>
    <t>Total_Biaya</t>
  </si>
  <si>
    <t>Laba_Kotor</t>
  </si>
  <si>
    <t>Margin_Keuntungan</t>
  </si>
  <si>
    <t>TRX-0001</t>
  </si>
  <si>
    <t>Jakarta</t>
  </si>
  <si>
    <t>SKU-101</t>
  </si>
  <si>
    <t>HEMAT10</t>
  </si>
  <si>
    <t>TRX-0002</t>
  </si>
  <si>
    <t>Surabaya</t>
  </si>
  <si>
    <t>SKU-102</t>
  </si>
  <si>
    <t>FLASHSALE</t>
  </si>
  <si>
    <t>TRX-0003</t>
  </si>
  <si>
    <t>Medan</t>
  </si>
  <si>
    <t>SKU-104</t>
  </si>
  <si>
    <t>NONE</t>
  </si>
  <si>
    <t>TRX-0004</t>
  </si>
  <si>
    <t>Makassar</t>
  </si>
  <si>
    <t>SKU-103</t>
  </si>
  <si>
    <t>SUPER20</t>
  </si>
  <si>
    <t>TRX-0005</t>
  </si>
  <si>
    <t>SKU-105</t>
  </si>
  <si>
    <t>TRX-0006</t>
  </si>
  <si>
    <t>TRX-0007</t>
  </si>
  <si>
    <t>TRX-0008</t>
  </si>
  <si>
    <t>TRX-0009</t>
  </si>
  <si>
    <t>TRX-0010</t>
  </si>
  <si>
    <t>TRX-0011</t>
  </si>
  <si>
    <t>TRX-0012</t>
  </si>
  <si>
    <t>TRX-0013</t>
  </si>
  <si>
    <t>TRX-0014</t>
  </si>
  <si>
    <t>TRX-0015</t>
  </si>
  <si>
    <t>TRX-0016</t>
  </si>
  <si>
    <t>TRX-0017</t>
  </si>
  <si>
    <t>TRX-0018</t>
  </si>
  <si>
    <t>TRX-0019</t>
  </si>
  <si>
    <t>TRX-0020</t>
  </si>
  <si>
    <t>TRX-0021</t>
  </si>
  <si>
    <t>TRX-0022</t>
  </si>
  <si>
    <t>TRX-0023</t>
  </si>
  <si>
    <t>TRX-0024</t>
  </si>
  <si>
    <t>TRX-0025</t>
  </si>
  <si>
    <t>TRX-0026</t>
  </si>
  <si>
    <t>TRX-0027</t>
  </si>
  <si>
    <t>TRX-0028</t>
  </si>
  <si>
    <t>TRX-0029</t>
  </si>
  <si>
    <t>TRX-0030</t>
  </si>
  <si>
    <t>TRX-0031</t>
  </si>
  <si>
    <t>TRX-0032</t>
  </si>
  <si>
    <t>TRX-0033</t>
  </si>
  <si>
    <t>TRX-0034</t>
  </si>
  <si>
    <t>TRX-0035</t>
  </si>
  <si>
    <t>TRX-0036</t>
  </si>
  <si>
    <t>TRX-0037</t>
  </si>
  <si>
    <t>TRX-0038</t>
  </si>
  <si>
    <t>TRX-0039</t>
  </si>
  <si>
    <t>TRX-0040</t>
  </si>
  <si>
    <t>TRX-0041</t>
  </si>
  <si>
    <t>TRX-0042</t>
  </si>
  <si>
    <t>TRX-0043</t>
  </si>
  <si>
    <t>TRX-0044</t>
  </si>
  <si>
    <t>TRX-0045</t>
  </si>
  <si>
    <t>TRX-0046</t>
  </si>
  <si>
    <t>TRX-0047</t>
  </si>
  <si>
    <t>TRX-0048</t>
  </si>
  <si>
    <t>TRX-0049</t>
  </si>
  <si>
    <t>TRX-0050</t>
  </si>
  <si>
    <t>TRX-0051</t>
  </si>
  <si>
    <t>TRX-0052</t>
  </si>
  <si>
    <t>TRX-0053</t>
  </si>
  <si>
    <t>TRX-0054</t>
  </si>
  <si>
    <t>TRX-0055</t>
  </si>
  <si>
    <t>TRX-0056</t>
  </si>
  <si>
    <t>TRX-0057</t>
  </si>
  <si>
    <t>TRX-0058</t>
  </si>
  <si>
    <t>TRX-0059</t>
  </si>
  <si>
    <t>TRX-0060</t>
  </si>
  <si>
    <t>TRX-0061</t>
  </si>
  <si>
    <t>TRX-0062</t>
  </si>
  <si>
    <t>TRX-0063</t>
  </si>
  <si>
    <t>TRX-0064</t>
  </si>
  <si>
    <t>TRX-0065</t>
  </si>
  <si>
    <t>TRX-0066</t>
  </si>
  <si>
    <t>TRX-0067</t>
  </si>
  <si>
    <t>TRX-0068</t>
  </si>
  <si>
    <t>TRX-0069</t>
  </si>
  <si>
    <t>TRX-0070</t>
  </si>
  <si>
    <t>TRX-0071</t>
  </si>
  <si>
    <t>TRX-0072</t>
  </si>
  <si>
    <t>TRX-0073</t>
  </si>
  <si>
    <t>TRX-0074</t>
  </si>
  <si>
    <t>TRX-0075</t>
  </si>
  <si>
    <t>TRX-0076</t>
  </si>
  <si>
    <t>TRX-0077</t>
  </si>
  <si>
    <t>TRX-0078</t>
  </si>
  <si>
    <t>TRX-0079</t>
  </si>
  <si>
    <t>TRX-0080</t>
  </si>
  <si>
    <t>TRX-0081</t>
  </si>
  <si>
    <t>TRX-0082</t>
  </si>
  <si>
    <t>TRX-0083</t>
  </si>
  <si>
    <t>TRX-0084</t>
  </si>
  <si>
    <t>TRX-0085</t>
  </si>
  <si>
    <t>TRX-0086</t>
  </si>
  <si>
    <t>TRX-0087</t>
  </si>
  <si>
    <t>TRX-0088</t>
  </si>
  <si>
    <t>TRX-0089</t>
  </si>
  <si>
    <t>TRX-0090</t>
  </si>
  <si>
    <t>TRX-0091</t>
  </si>
  <si>
    <t>TRX-0092</t>
  </si>
  <si>
    <t>TRX-0093</t>
  </si>
  <si>
    <t>TRX-0094</t>
  </si>
  <si>
    <t>TRX-0095</t>
  </si>
  <si>
    <t>TRX-0096</t>
  </si>
  <si>
    <t>TRX-0097</t>
  </si>
  <si>
    <t>TRX-0098</t>
  </si>
  <si>
    <t>TRX-0099</t>
  </si>
  <si>
    <t>TRX-0100</t>
  </si>
  <si>
    <t>TRX-0101</t>
  </si>
  <si>
    <t>TRX-0102</t>
  </si>
  <si>
    <t>TRX-0103</t>
  </si>
  <si>
    <t>TRX-0104</t>
  </si>
  <si>
    <t>TRX-0105</t>
  </si>
  <si>
    <t>TRX-0106</t>
  </si>
  <si>
    <t>TRX-0107</t>
  </si>
  <si>
    <t>TRX-0108</t>
  </si>
  <si>
    <t>TRX-0109</t>
  </si>
  <si>
    <t>TRX-0110</t>
  </si>
  <si>
    <t>TRX-0111</t>
  </si>
  <si>
    <t>TRX-0112</t>
  </si>
  <si>
    <t>TRX-0113</t>
  </si>
  <si>
    <t>TRX-0114</t>
  </si>
  <si>
    <t>TRX-0115</t>
  </si>
  <si>
    <t>TRX-0116</t>
  </si>
  <si>
    <t>TRX-0117</t>
  </si>
  <si>
    <t>TRX-0118</t>
  </si>
  <si>
    <t>TRX-0119</t>
  </si>
  <si>
    <t>TRX-0120</t>
  </si>
  <si>
    <t>TRX-0121</t>
  </si>
  <si>
    <t>TRX-0122</t>
  </si>
  <si>
    <t>TRX-0123</t>
  </si>
  <si>
    <t>TRX-0124</t>
  </si>
  <si>
    <t>TRX-0125</t>
  </si>
  <si>
    <t>TRX-0126</t>
  </si>
  <si>
    <t>TRX-0127</t>
  </si>
  <si>
    <t>TRX-0128</t>
  </si>
  <si>
    <t>TRX-0129</t>
  </si>
  <si>
    <t>TRX-0130</t>
  </si>
  <si>
    <t>TRX-0131</t>
  </si>
  <si>
    <t>TRX-0132</t>
  </si>
  <si>
    <t>TRX-0133</t>
  </si>
  <si>
    <t>TRX-0134</t>
  </si>
  <si>
    <t>TRX-0135</t>
  </si>
  <si>
    <t>TRX-0136</t>
  </si>
  <si>
    <t>TRX-0137</t>
  </si>
  <si>
    <t>TRX-0138</t>
  </si>
  <si>
    <t>TRX-0139</t>
  </si>
  <si>
    <t>TRX-0140</t>
  </si>
  <si>
    <t>TRX-0141</t>
  </si>
  <si>
    <t>TRX-0142</t>
  </si>
  <si>
    <t>TRX-0143</t>
  </si>
  <si>
    <t>TRX-0144</t>
  </si>
  <si>
    <t>TRX-0145</t>
  </si>
  <si>
    <t>TRX-0146</t>
  </si>
  <si>
    <t>TRX-0147</t>
  </si>
  <si>
    <t>TRX-0148</t>
  </si>
  <si>
    <t>TRX-0149</t>
  </si>
  <si>
    <t>TRX-0150</t>
  </si>
  <si>
    <t>TRX-0151</t>
  </si>
  <si>
    <t>TRX-0152</t>
  </si>
  <si>
    <t>TRX-0153</t>
  </si>
  <si>
    <t>TRX-0154</t>
  </si>
  <si>
    <t>TRX-0155</t>
  </si>
  <si>
    <t>TRX-0156</t>
  </si>
  <si>
    <t>TRX-0157</t>
  </si>
  <si>
    <t>TRX-0158</t>
  </si>
  <si>
    <t>TRX-0159</t>
  </si>
  <si>
    <t>TRX-0160</t>
  </si>
  <si>
    <t>TRX-0161</t>
  </si>
  <si>
    <t>TRX-0162</t>
  </si>
  <si>
    <t>TRX-0163</t>
  </si>
  <si>
    <t>TRX-0164</t>
  </si>
  <si>
    <t>TRX-0165</t>
  </si>
  <si>
    <t>TRX-0166</t>
  </si>
  <si>
    <t>TRX-0167</t>
  </si>
  <si>
    <t>TRX-0168</t>
  </si>
  <si>
    <t>TRX-0169</t>
  </si>
  <si>
    <t>TRX-0170</t>
  </si>
  <si>
    <t>TRX-0171</t>
  </si>
  <si>
    <t>TRX-0172</t>
  </si>
  <si>
    <t>TRX-0173</t>
  </si>
  <si>
    <t>TRX-0174</t>
  </si>
  <si>
    <t>TRX-0175</t>
  </si>
  <si>
    <t>TRX-0176</t>
  </si>
  <si>
    <t>TRX-0177</t>
  </si>
  <si>
    <t>TRX-0178</t>
  </si>
  <si>
    <t>TRX-0179</t>
  </si>
  <si>
    <t>TRX-0180</t>
  </si>
  <si>
    <t>TRX-0181</t>
  </si>
  <si>
    <t>TRX-0182</t>
  </si>
  <si>
    <t>TRX-0183</t>
  </si>
  <si>
    <t>TRX-0184</t>
  </si>
  <si>
    <t>TRX-0185</t>
  </si>
  <si>
    <t>TRX-0186</t>
  </si>
  <si>
    <t>TRX-0187</t>
  </si>
  <si>
    <t>TRX-0188</t>
  </si>
  <si>
    <t>TRX-0189</t>
  </si>
  <si>
    <t>TRX-0190</t>
  </si>
  <si>
    <t>TRX-0191</t>
  </si>
  <si>
    <t>TRX-0192</t>
  </si>
  <si>
    <t>TRX-0193</t>
  </si>
  <si>
    <t>TRX-0194</t>
  </si>
  <si>
    <t>TRX-0195</t>
  </si>
  <si>
    <t>TRX-0196</t>
  </si>
  <si>
    <t>TRX-0197</t>
  </si>
  <si>
    <t>TRX-0198</t>
  </si>
  <si>
    <t>TRX-0199</t>
  </si>
  <si>
    <t>TRX-0200</t>
  </si>
  <si>
    <t>TRX-0201</t>
  </si>
  <si>
    <t>TRX-0202</t>
  </si>
  <si>
    <t>TRX-0203</t>
  </si>
  <si>
    <t>TRX-0204</t>
  </si>
  <si>
    <t>TRX-0205</t>
  </si>
  <si>
    <t>TRX-0206</t>
  </si>
  <si>
    <t>TRX-0207</t>
  </si>
  <si>
    <t>TRX-0208</t>
  </si>
  <si>
    <t>TRX-0209</t>
  </si>
  <si>
    <t>TRX-0210</t>
  </si>
  <si>
    <t>TRX-0211</t>
  </si>
  <si>
    <t>TRX-0212</t>
  </si>
  <si>
    <t>TRX-0213</t>
  </si>
  <si>
    <t>TRX-0214</t>
  </si>
  <si>
    <t>TRX-0215</t>
  </si>
  <si>
    <t>TRX-0216</t>
  </si>
  <si>
    <t>TRX-0217</t>
  </si>
  <si>
    <t>TRX-0218</t>
  </si>
  <si>
    <t>TRX-0219</t>
  </si>
  <si>
    <t>TRX-0220</t>
  </si>
  <si>
    <t>TRX-0221</t>
  </si>
  <si>
    <t>TRX-0222</t>
  </si>
  <si>
    <t>TRX-0223</t>
  </si>
  <si>
    <t>TRX-0224</t>
  </si>
  <si>
    <t>TRX-0225</t>
  </si>
  <si>
    <t>TRX-0226</t>
  </si>
  <si>
    <t>TRX-0227</t>
  </si>
  <si>
    <t>TRX-0228</t>
  </si>
  <si>
    <t>TRX-0229</t>
  </si>
  <si>
    <t>TRX-0230</t>
  </si>
  <si>
    <t>TRX-0231</t>
  </si>
  <si>
    <t>TRX-0232</t>
  </si>
  <si>
    <t>TRX-0233</t>
  </si>
  <si>
    <t>TRX-0234</t>
  </si>
  <si>
    <t>TRX-0235</t>
  </si>
  <si>
    <t>TRX-0236</t>
  </si>
  <si>
    <t>TRX-0237</t>
  </si>
  <si>
    <t>TRX-0238</t>
  </si>
  <si>
    <t>TRX-0239</t>
  </si>
  <si>
    <t>TRX-0240</t>
  </si>
  <si>
    <t>TRX-0241</t>
  </si>
  <si>
    <t>TRX-0242</t>
  </si>
  <si>
    <t>TRX-0243</t>
  </si>
  <si>
    <t>TRX-0244</t>
  </si>
  <si>
    <t>TRX-0245</t>
  </si>
  <si>
    <t>TRX-0246</t>
  </si>
  <si>
    <t>TRX-0247</t>
  </si>
  <si>
    <t>TRX-0248</t>
  </si>
  <si>
    <t>TRX-0249</t>
  </si>
  <si>
    <t>TRX-0250</t>
  </si>
  <si>
    <t>TRX-0251</t>
  </si>
  <si>
    <t>TRX-0252</t>
  </si>
  <si>
    <t>TRX-0253</t>
  </si>
  <si>
    <t>TRX-0254</t>
  </si>
  <si>
    <t>TRX-0255</t>
  </si>
  <si>
    <t>TRX-0256</t>
  </si>
  <si>
    <t>TRX-0257</t>
  </si>
  <si>
    <t>TRX-0258</t>
  </si>
  <si>
    <t>TRX-0259</t>
  </si>
  <si>
    <t>TRX-0260</t>
  </si>
  <si>
    <t>TRX-0261</t>
  </si>
  <si>
    <t>TRX-0262</t>
  </si>
  <si>
    <t>TRX-0263</t>
  </si>
  <si>
    <t>TRX-0264</t>
  </si>
  <si>
    <t>TRX-0265</t>
  </si>
  <si>
    <t>TRX-0266</t>
  </si>
  <si>
    <t>TRX-0267</t>
  </si>
  <si>
    <t>TRX-0268</t>
  </si>
  <si>
    <t>TRX-0269</t>
  </si>
  <si>
    <t>TRX-0270</t>
  </si>
  <si>
    <t>TRX-0271</t>
  </si>
  <si>
    <t>TRX-0272</t>
  </si>
  <si>
    <t>TRX-0273</t>
  </si>
  <si>
    <t>TRX-0274</t>
  </si>
  <si>
    <t>TRX-0275</t>
  </si>
  <si>
    <t>TRX-0276</t>
  </si>
  <si>
    <t>TRX-0277</t>
  </si>
  <si>
    <t>TRX-0278</t>
  </si>
  <si>
    <t>TRX-0279</t>
  </si>
  <si>
    <t>TRX-0280</t>
  </si>
  <si>
    <t>TRX-0281</t>
  </si>
  <si>
    <t>TRX-0282</t>
  </si>
  <si>
    <t>TRX-0283</t>
  </si>
  <si>
    <t>TRX-0284</t>
  </si>
  <si>
    <t>TRX-0285</t>
  </si>
  <si>
    <t>TRX-0286</t>
  </si>
  <si>
    <t>TRX-0287</t>
  </si>
  <si>
    <t>TRX-0288</t>
  </si>
  <si>
    <t>TRX-0289</t>
  </si>
  <si>
    <t>TRX-0290</t>
  </si>
  <si>
    <t>TRX-0291</t>
  </si>
  <si>
    <t>TRX-0292</t>
  </si>
  <si>
    <t>TRX-0293</t>
  </si>
  <si>
    <t>TRX-0294</t>
  </si>
  <si>
    <t>TRX-0295</t>
  </si>
  <si>
    <t>TRX-0296</t>
  </si>
  <si>
    <t>TRX-0297</t>
  </si>
  <si>
    <t>TRX-0298</t>
  </si>
  <si>
    <t>TRX-0299</t>
  </si>
  <si>
    <t>TRX-0300</t>
  </si>
  <si>
    <t>TRX-0301</t>
  </si>
  <si>
    <t>TRX-0302</t>
  </si>
  <si>
    <t>TRX-0303</t>
  </si>
  <si>
    <t>TRX-0304</t>
  </si>
  <si>
    <t>TRX-0305</t>
  </si>
  <si>
    <t>TRX-0306</t>
  </si>
  <si>
    <t>TRX-0307</t>
  </si>
  <si>
    <t>TRX-0308</t>
  </si>
  <si>
    <t>TRX-0309</t>
  </si>
  <si>
    <t>TRX-0310</t>
  </si>
  <si>
    <t>TRX-0311</t>
  </si>
  <si>
    <t>TRX-0312</t>
  </si>
  <si>
    <t>TRX-0313</t>
  </si>
  <si>
    <t>TRX-0314</t>
  </si>
  <si>
    <t>TRX-0315</t>
  </si>
  <si>
    <t>TRX-0316</t>
  </si>
  <si>
    <t>TRX-0317</t>
  </si>
  <si>
    <t>TRX-0318</t>
  </si>
  <si>
    <t>TRX-0319</t>
  </si>
  <si>
    <t>TRX-0320</t>
  </si>
  <si>
    <t>TRX-0321</t>
  </si>
  <si>
    <t>TRX-0322</t>
  </si>
  <si>
    <t>TRX-0323</t>
  </si>
  <si>
    <t>TRX-0324</t>
  </si>
  <si>
    <t>TRX-0325</t>
  </si>
  <si>
    <t>TRX-0326</t>
  </si>
  <si>
    <t>TRX-0327</t>
  </si>
  <si>
    <t>TRX-0328</t>
  </si>
  <si>
    <t>TRX-0329</t>
  </si>
  <si>
    <t>TRX-0330</t>
  </si>
  <si>
    <t>TRX-0331</t>
  </si>
  <si>
    <t>TRX-0332</t>
  </si>
  <si>
    <t>TRX-0333</t>
  </si>
  <si>
    <t>TRX-0334</t>
  </si>
  <si>
    <t>TRX-0335</t>
  </si>
  <si>
    <t>TRX-0336</t>
  </si>
  <si>
    <t>TRX-0337</t>
  </si>
  <si>
    <t>TRX-0338</t>
  </si>
  <si>
    <t>TRX-0339</t>
  </si>
  <si>
    <t>TRX-0340</t>
  </si>
  <si>
    <t>TRX-0341</t>
  </si>
  <si>
    <t>TRX-0342</t>
  </si>
  <si>
    <t>TRX-0343</t>
  </si>
  <si>
    <t>TRX-0344</t>
  </si>
  <si>
    <t>TRX-0345</t>
  </si>
  <si>
    <t>TRX-0346</t>
  </si>
  <si>
    <t>TRX-0347</t>
  </si>
  <si>
    <t>TRX-0348</t>
  </si>
  <si>
    <t>TRX-0349</t>
  </si>
  <si>
    <t>TRX-0350</t>
  </si>
  <si>
    <t>TRX-0351</t>
  </si>
  <si>
    <t>TRX-0352</t>
  </si>
  <si>
    <t>TRX-0353</t>
  </si>
  <si>
    <t>TRX-0354</t>
  </si>
  <si>
    <t>TRX-0355</t>
  </si>
  <si>
    <t>TRX-0356</t>
  </si>
  <si>
    <t>TRX-0357</t>
  </si>
  <si>
    <t>TRX-0358</t>
  </si>
  <si>
    <t>TRX-0359</t>
  </si>
  <si>
    <t>TRX-0360</t>
  </si>
  <si>
    <t>TRX-0361</t>
  </si>
  <si>
    <t>TRX-0362</t>
  </si>
  <si>
    <t>TRX-0363</t>
  </si>
  <si>
    <t>TRX-0364</t>
  </si>
  <si>
    <t>TRX-0365</t>
  </si>
  <si>
    <t>TRX-0366</t>
  </si>
  <si>
    <t>TRX-0367</t>
  </si>
  <si>
    <t>TRX-0368</t>
  </si>
  <si>
    <t>TRX-0369</t>
  </si>
  <si>
    <t>TRX-0370</t>
  </si>
  <si>
    <t>TRX-0371</t>
  </si>
  <si>
    <t>TRX-0372</t>
  </si>
  <si>
    <t>TRX-0373</t>
  </si>
  <si>
    <t>TRX-0374</t>
  </si>
  <si>
    <t>TRX-0375</t>
  </si>
  <si>
    <t>TRX-0376</t>
  </si>
  <si>
    <t>TRX-0377</t>
  </si>
  <si>
    <t>TRX-0378</t>
  </si>
  <si>
    <t>TRX-0379</t>
  </si>
  <si>
    <t>TRX-0380</t>
  </si>
  <si>
    <t>TRX-0381</t>
  </si>
  <si>
    <t>TRX-0382</t>
  </si>
  <si>
    <t>TRX-0383</t>
  </si>
  <si>
    <t>TRX-0384</t>
  </si>
  <si>
    <t>TRX-0385</t>
  </si>
  <si>
    <t>TRX-0386</t>
  </si>
  <si>
    <t>TRX-0387</t>
  </si>
  <si>
    <t>TRX-0388</t>
  </si>
  <si>
    <t>TRX-0389</t>
  </si>
  <si>
    <t>TRX-0390</t>
  </si>
  <si>
    <t>TRX-0391</t>
  </si>
  <si>
    <t>TRX-0392</t>
  </si>
  <si>
    <t>TRX-0393</t>
  </si>
  <si>
    <t>TRX-0394</t>
  </si>
  <si>
    <t>TRX-0395</t>
  </si>
  <si>
    <t>TRX-0396</t>
  </si>
  <si>
    <t>TRX-0397</t>
  </si>
  <si>
    <t>TRX-0398</t>
  </si>
  <si>
    <t>TRX-0399</t>
  </si>
  <si>
    <t>TRX-0400</t>
  </si>
  <si>
    <t>TRX-0401</t>
  </si>
  <si>
    <t>TRX-0402</t>
  </si>
  <si>
    <t>TRX-0403</t>
  </si>
  <si>
    <t>TRX-0404</t>
  </si>
  <si>
    <t>TRX-0405</t>
  </si>
  <si>
    <t>TRX-0406</t>
  </si>
  <si>
    <t>TRX-0407</t>
  </si>
  <si>
    <t>TRX-0408</t>
  </si>
  <si>
    <t>TRX-0409</t>
  </si>
  <si>
    <t>TRX-0410</t>
  </si>
  <si>
    <t>TRX-0411</t>
  </si>
  <si>
    <t>TRX-0412</t>
  </si>
  <si>
    <t>TRX-0413</t>
  </si>
  <si>
    <t>TRX-0414</t>
  </si>
  <si>
    <t>TRX-0415</t>
  </si>
  <si>
    <t>TRX-0416</t>
  </si>
  <si>
    <t>TRX-0417</t>
  </si>
  <si>
    <t>TRX-0418</t>
  </si>
  <si>
    <t>TRX-0419</t>
  </si>
  <si>
    <t>TRX-0420</t>
  </si>
  <si>
    <t>TRX-0421</t>
  </si>
  <si>
    <t>TRX-0422</t>
  </si>
  <si>
    <t>TRX-0423</t>
  </si>
  <si>
    <t>TRX-0424</t>
  </si>
  <si>
    <t>TRX-0425</t>
  </si>
  <si>
    <t>TRX-0426</t>
  </si>
  <si>
    <t>TRX-0427</t>
  </si>
  <si>
    <t>TRX-0428</t>
  </si>
  <si>
    <t>TRX-0429</t>
  </si>
  <si>
    <t>TRX-0430</t>
  </si>
  <si>
    <t>TRX-0431</t>
  </si>
  <si>
    <t>TRX-0432</t>
  </si>
  <si>
    <t>TRX-0433</t>
  </si>
  <si>
    <t>TRX-0434</t>
  </si>
  <si>
    <t>TRX-0435</t>
  </si>
  <si>
    <t>TRX-0436</t>
  </si>
  <si>
    <t>TRX-0437</t>
  </si>
  <si>
    <t>TRX-0438</t>
  </si>
  <si>
    <t>TRX-0439</t>
  </si>
  <si>
    <t>TRX-0440</t>
  </si>
  <si>
    <t>TRX-0441</t>
  </si>
  <si>
    <t>TRX-0442</t>
  </si>
  <si>
    <t>TRX-0443</t>
  </si>
  <si>
    <t>TRX-0444</t>
  </si>
  <si>
    <t>TRX-0445</t>
  </si>
  <si>
    <t>TRX-0446</t>
  </si>
  <si>
    <t>TRX-0447</t>
  </si>
  <si>
    <t>TRX-0448</t>
  </si>
  <si>
    <t>TRX-0449</t>
  </si>
  <si>
    <t>TRX-0450</t>
  </si>
  <si>
    <t>TRX-0451</t>
  </si>
  <si>
    <t>TRX-0452</t>
  </si>
  <si>
    <t>TRX-0453</t>
  </si>
  <si>
    <t>TRX-0454</t>
  </si>
  <si>
    <t>TRX-0455</t>
  </si>
  <si>
    <t>TRX-0456</t>
  </si>
  <si>
    <t>TRX-0457</t>
  </si>
  <si>
    <t>TRX-0458</t>
  </si>
  <si>
    <t>TRX-0459</t>
  </si>
  <si>
    <t>TRX-0460</t>
  </si>
  <si>
    <t>TRX-0461</t>
  </si>
  <si>
    <t>TRX-0462</t>
  </si>
  <si>
    <t>TRX-0463</t>
  </si>
  <si>
    <t>TRX-0464</t>
  </si>
  <si>
    <t>TRX-0465</t>
  </si>
  <si>
    <t>TRX-0466</t>
  </si>
  <si>
    <t>TRX-0467</t>
  </si>
  <si>
    <t>TRX-0468</t>
  </si>
  <si>
    <t>TRX-0469</t>
  </si>
  <si>
    <t>TRX-0470</t>
  </si>
  <si>
    <t>TRX-0471</t>
  </si>
  <si>
    <t>TRX-0472</t>
  </si>
  <si>
    <t>TRX-0473</t>
  </si>
  <si>
    <t>TRX-0474</t>
  </si>
  <si>
    <t>TRX-0475</t>
  </si>
  <si>
    <t>TRX-0476</t>
  </si>
  <si>
    <t>TRX-0477</t>
  </si>
  <si>
    <t>TRX-0478</t>
  </si>
  <si>
    <t>TRX-0479</t>
  </si>
  <si>
    <t>TRX-0480</t>
  </si>
  <si>
    <t>TRX-0481</t>
  </si>
  <si>
    <t>TRX-0482</t>
  </si>
  <si>
    <t>TRX-0483</t>
  </si>
  <si>
    <t>TRX-0484</t>
  </si>
  <si>
    <t>TRX-0485</t>
  </si>
  <si>
    <t>TRX-0486</t>
  </si>
  <si>
    <t>TRX-0487</t>
  </si>
  <si>
    <t>TRX-0488</t>
  </si>
  <si>
    <t>TRX-0489</t>
  </si>
  <si>
    <t>TRX-0490</t>
  </si>
  <si>
    <t>TRX-0491</t>
  </si>
  <si>
    <t>TRX-0492</t>
  </si>
  <si>
    <t>TRX-0493</t>
  </si>
  <si>
    <t>TRX-0494</t>
  </si>
  <si>
    <t>TRX-0495</t>
  </si>
  <si>
    <t>TRX-0496</t>
  </si>
  <si>
    <t>TRX-0497</t>
  </si>
  <si>
    <t>TRX-0498</t>
  </si>
  <si>
    <t>TRX-0499</t>
  </si>
  <si>
    <t>TRX-0500</t>
  </si>
  <si>
    <t>Nama Produk</t>
  </si>
  <si>
    <t>HPP</t>
  </si>
  <si>
    <t>Harga Jual</t>
  </si>
  <si>
    <t>Laptop Pro 14</t>
  </si>
  <si>
    <t>Elektronik</t>
  </si>
  <si>
    <t>Mechanical Keyboard</t>
  </si>
  <si>
    <t>Aksesori</t>
  </si>
  <si>
    <t>Monitor Ergonomis 27</t>
  </si>
  <si>
    <t>Kursi Kerja Ergonomis</t>
  </si>
  <si>
    <t>Furnitur</t>
  </si>
  <si>
    <t>Meja Adjustable</t>
  </si>
  <si>
    <t>Wilayah</t>
  </si>
  <si>
    <t>Biaya Kirim per Unit</t>
  </si>
  <si>
    <t>Barat</t>
  </si>
  <si>
    <t>Timur</t>
  </si>
  <si>
    <t>Kode Promo</t>
  </si>
  <si>
    <t>Besaran Diskon</t>
  </si>
  <si>
    <t>Keterangan Syarat</t>
  </si>
  <si>
    <t>Berlaku untuk semua pembelian tanpa syarat unit</t>
  </si>
  <si>
    <t>Hanya berlaku jika Jumlah_Unit &gt;= 3; jika kurang dari 3 maka 0%</t>
  </si>
  <si>
    <t>Tidak ada potongan harga</t>
  </si>
  <si>
    <t>STUDI KASUS PORTOFOLIO EXCEL: ANALISIS BISNIS RETAIL OMNI-CHANNEL</t>
  </si>
  <si>
    <t>Perusahaan: PT Retail Niaga Internasional | Tahun Fiskal: 2025 | Lembar Kerja Praktik Portofolio</t>
  </si>
  <si>
    <t>[PANDUAN &amp; PETUNJUK SOAL PORTOFOLIO]</t>
  </si>
  <si>
    <t>Nomor Soal</t>
  </si>
  <si>
    <t>Kategori Keterampilan</t>
  </si>
  <si>
    <t>Instruksi Pengerjaan</t>
  </si>
  <si>
    <t>Output yang Diharapkan</t>
  </si>
  <si>
    <t>Soal 1</t>
  </si>
  <si>
    <t>Data Cleaning &amp; Formatting</t>
  </si>
  <si>
    <t>1. Ubah format Tanggal (kolom B) menjadi YYYY-MM-DD. 2. Ubah format angka HPP, Harga, Diskon Rp, Pendapatan, dan Laba menjadi format Akuntansi (Rp #,##0). 3. Format persentase diskon dan margin menjadi (0.0%). 4. Beri Conditional Formatting warna lembut pada Jumlah_Unit &gt; 5.</t>
  </si>
  <si>
    <t>Data rapi dan konsisten sesuai standar korporat</t>
  </si>
  <si>
    <t>Soal 2</t>
  </si>
  <si>
    <t>Advanced Lookup (INDEX-MATCH / XLOOKUP)</t>
  </si>
  <si>
    <t>Isi kolom Nama_Produk (G), Kategori (H), Harga_Satuan (I), dan HPP_Satuan (J) menggunakan rumus INDEX &amp; MATCH (atau XLOOKUP) dengan merujuk ke tabel Master Produk (Tbl_Produk).</t>
  </si>
  <si>
    <t>Seluruh atribut produk terisi otomatis secara dinamis</t>
  </si>
  <si>
    <t>Soal 2b</t>
  </si>
  <si>
    <t>Lookup Biaya Kirim</t>
  </si>
  <si>
    <t>Isi kolom Biaya_Kirim_Satuan (K) menggunakan INDEX-MATCH merujuk ke tabel Master Wilayah (Tbl_Wilayah) berdasarkan Kota tujuan.</t>
  </si>
  <si>
    <t>Biaya logistik terisi akurat per unit</t>
  </si>
  <si>
    <t>Soal 2c</t>
  </si>
  <si>
    <t>Logika Diskon Bertingkat</t>
  </si>
  <si>
    <t>Hitung Persentase_Diskon (L) berdasarkan Kode_Promo: HEMAT10 = 10%, SUPER20 = 20%, FLASHSALE = 30% (hanya jika Jumlah_Unit &gt;= 3; jika kurang dari 3 maka 0%), NONE = 0%. Gunakan fungsi IF bertingkat atau IFS.</t>
  </si>
  <si>
    <t>Persentase diskon promo terhitung otomatis</t>
  </si>
  <si>
    <t>Soal 2d</t>
  </si>
  <si>
    <t>Kalkulasi Keuangan Bisnis</t>
  </si>
  <si>
    <t>Hitung: 1. Total_Pendapatan_Kotor = Qty * Harga_Satuan; 2. Potongan_Diskon = Pendapatan_Kotor * Persentase_Diskon; 3. Total_Pendapatan_Bersih = Pendapatan_Kotor - Potongan_Diskon; 4. Total_Biaya = (Qty * HPP_Satuan) + (Qty * Biaya_Kirim_Satuan); 5. Laba_Kotor = Pendapatan_Bersih - Total_Biaya; 6. Margin_Keuntungan = Laba_Kotor / Pendapatan_Bersih.</t>
  </si>
  <si>
    <t>Kalkulasi P&amp;L transaksi lengkap dan valid</t>
  </si>
  <si>
    <t>Soal 3</t>
  </si>
  <si>
    <t>Pivot Table &amp; Business Insights</t>
  </si>
  <si>
    <t>Buat sheet baru bernama 'Analisis_Pivot': 1. Pivot 1: Laba Kotor &amp; Rata-rata Margin per Kategori &amp; Wilayah. 2. Pivot 2: Tren Pendapatan Bulanan dengan metrik MoM Growth (% selisih bulan sebelumnya). 3. Pivot 3: Top 5 Produk Terlaris berdasarkan Pendapatan Bersih.</t>
  </si>
  <si>
    <t>Tabel ringkasan agregat siap presentasi</t>
  </si>
  <si>
    <t>Soal 4</t>
  </si>
  <si>
    <t>Executive Dashboard</t>
  </si>
  <si>
    <t>Buat sheet baru bernama 'Executive_Dashboard': 1. 4 KPI Summary Cards (Total Revenue, Total Net Profit, Overall Profit Margin %, Total Units Sold). 2. Combo Chart: Pendapatan Bulanan (Bar) vs Margin % (Line pada sumbu sekunder). 3. Donut Chart kontribusi laba per kota. 4. Tambahkan Slicer interaktif (Wilayah &amp; Kategori).</t>
  </si>
  <si>
    <t>Dasbor visual interaktif untuk portofolio LinkedIn/GitHub</t>
  </si>
  <si>
    <t>Sum of Laba_Kotor</t>
  </si>
  <si>
    <t>Sum of Margin_Keuntungan</t>
  </si>
  <si>
    <t>Months (Tanggal)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</si>
  <si>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</si>
  <si>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</si>
  <si>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</si>
  <si>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</si>
  <si>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</si>
  <si>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</si>
  <si>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</si>
  <si>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</si>
  <si>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</si>
  <si>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</si>
  <si>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</si>
  <si>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</si>
  <si>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Total_Pendapatan_Bersih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</si>
</sst>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_-[$Rp-3809]* #,##0_-;\-[$Rp-3809]* #,##0_-;_-[$Rp-3809]* &quot;-&quot;??_-;_-@_-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Poppins"/>
    </font>
    <font>
      <b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8" xfId="0" applyFont="1" applyBorder="1" applyAlignment="1">
      <alignment horizontal="right" wrapText="1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vertical="center"/>
    </xf>
    <xf numFmtId="0" fontId="2" fillId="0" borderId="0" xfId="0" applyFont="1"/>
    <xf numFmtId="0" fontId="3" fillId="0" borderId="1" xfId="0" applyFont="1" applyBorder="1" applyAlignment="1">
      <alignment vertical="center"/>
    </xf>
    <xf numFmtId="0" fontId="3" fillId="0" borderId="0" xfId="0" applyFont="1"/>
    <xf numFmtId="9" fontId="2" fillId="0" borderId="7" xfId="1" applyFont="1" applyBorder="1" applyAlignment="1">
      <alignment horizontal="left" vertical="top" wrapText="1"/>
    </xf>
    <xf numFmtId="9" fontId="2" fillId="0" borderId="8" xfId="1" applyFont="1" applyBorder="1" applyAlignment="1">
      <alignment horizontal="left" vertical="top" wrapText="1"/>
    </xf>
    <xf numFmtId="9" fontId="2" fillId="0" borderId="9" xfId="1" applyFont="1" applyBorder="1" applyAlignment="1">
      <alignment horizontal="left" vertical="top"/>
    </xf>
    <xf numFmtId="164" fontId="2" fillId="0" borderId="5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horizontal="right" wrapText="1"/>
    </xf>
    <xf numFmtId="164" fontId="2" fillId="0" borderId="8" xfId="0" applyNumberFormat="1" applyFont="1" applyBorder="1" applyAlignment="1">
      <alignment horizontal="right" wrapText="1"/>
    </xf>
    <xf numFmtId="165" fontId="2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wrapText="1"/>
    </xf>
    <xf numFmtId="165" fontId="2" fillId="0" borderId="9" xfId="0" applyNumberFormat="1" applyFont="1" applyBorder="1" applyAlignment="1">
      <alignment horizontal="right" wrapText="1"/>
    </xf>
    <xf numFmtId="165" fontId="0" fillId="0" borderId="0" xfId="0" applyNumberFormat="1"/>
    <xf numFmtId="165" fontId="2" fillId="0" borderId="5" xfId="0" applyNumberFormat="1" applyFont="1" applyBorder="1" applyAlignment="1">
      <alignment wrapText="1"/>
    </xf>
    <xf numFmtId="165" fontId="2" fillId="0" borderId="6" xfId="0" applyNumberFormat="1" applyFont="1" applyBorder="1" applyAlignment="1">
      <alignment wrapText="1"/>
    </xf>
    <xf numFmtId="165" fontId="2" fillId="0" borderId="1" xfId="0" applyNumberFormat="1" applyFont="1" applyBorder="1" applyAlignment="1">
      <alignment horizontal="right" wrapText="1"/>
    </xf>
    <xf numFmtId="165" fontId="2" fillId="0" borderId="8" xfId="0" applyNumberFormat="1" applyFont="1" applyBorder="1" applyAlignment="1">
      <alignment horizontal="right" wrapText="1"/>
    </xf>
    <xf numFmtId="166" fontId="2" fillId="0" borderId="5" xfId="0" applyNumberFormat="1" applyFont="1" applyBorder="1" applyAlignment="1">
      <alignment wrapText="1"/>
    </xf>
    <xf numFmtId="166" fontId="2" fillId="0" borderId="1" xfId="0" applyNumberFormat="1" applyFont="1" applyBorder="1" applyAlignment="1">
      <alignment horizontal="right" wrapText="1"/>
    </xf>
    <xf numFmtId="166" fontId="2" fillId="0" borderId="8" xfId="0" applyNumberFormat="1" applyFont="1" applyBorder="1" applyAlignment="1">
      <alignment horizontal="right" wrapText="1"/>
    </xf>
    <xf numFmtId="9" fontId="2" fillId="2" borderId="2" xfId="1" applyFont="1" applyFill="1" applyBorder="1" applyAlignment="1">
      <alignment horizontal="left" vertical="top" wrapText="1"/>
    </xf>
    <xf numFmtId="9" fontId="2" fillId="2" borderId="1" xfId="1" applyFont="1" applyFill="1" applyBorder="1" applyAlignment="1">
      <alignment horizontal="left" vertical="top" wrapText="1"/>
    </xf>
    <xf numFmtId="9" fontId="2" fillId="2" borderId="3" xfId="1" applyFont="1" applyFill="1" applyBorder="1" applyAlignment="1">
      <alignment horizontal="left" vertical="top"/>
    </xf>
    <xf numFmtId="165" fontId="2" fillId="0" borderId="1" xfId="0" applyNumberFormat="1" applyFont="1" applyBorder="1" applyAlignment="1">
      <alignment wrapText="1"/>
    </xf>
    <xf numFmtId="165" fontId="2" fillId="0" borderId="8" xfId="0" applyNumberFormat="1" applyFont="1" applyBorder="1" applyAlignment="1">
      <alignment wrapText="1"/>
    </xf>
    <xf numFmtId="166" fontId="2" fillId="0" borderId="1" xfId="1" applyNumberFormat="1" applyFont="1" applyBorder="1" applyAlignment="1">
      <alignment wrapText="1"/>
    </xf>
    <xf numFmtId="166" fontId="2" fillId="0" borderId="8" xfId="1" applyNumberFormat="1" applyFont="1" applyBorder="1" applyAlignment="1">
      <alignment wrapText="1"/>
    </xf>
    <xf numFmtId="0" fontId="0" fillId="0" borderId="0" xfId="0" pivotButton="1"/>
    <xf numFmtId="0" fontId="0" fillId="0" borderId="0" xfId="0" applyNumberFormat="1"/>
  </cellXfs>
  <cellStyles count="2">
    <cellStyle name="Normal" xfId="0" builtinId="0"/>
    <cellStyle name="Percent" xfId="1" builtinId="5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ill>
        <patternFill>
          <bgColor rgb="FFFFFF9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0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left" vertical="top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alignment horizontal="left" vertical="top" textRotation="0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center" textRotation="0" wrapText="0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6" formatCode="0.0%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5" formatCode="_-[$Rp-3809]* #,##0_-;\-[$Rp-3809]* #,##0_-;_-[$Rp-3809]* &quot;-&quot;??_-;_-@_-"/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numFmt numFmtId="164" formatCode="yyyy\-mm\-dd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Poppins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colors>
    <mruColors>
      <color rgb="FFFFFF9F"/>
      <color rgb="FFFFFFA7"/>
      <color rgb="FFFFFF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dy" refreshedDate="46280.034030439812" createdVersion="8" refreshedVersion="8" minRefreshableVersion="3" recordCount="500" xr:uid="{3DCBAA3C-A810-41AC-B0AF-B8F73967678C}">
  <cacheSource type="worksheet">
    <worksheetSource name="Table1"/>
  </cacheSource>
  <cacheFields count="20">
    <cacheField name="ID_Transaksi" numFmtId="0">
      <sharedItems/>
    </cacheField>
    <cacheField name="Tanggal" numFmtId="164">
      <sharedItems containsSemiMixedTypes="0" containsNonDate="0" containsDate="1" containsString="0" minDate="2025-01-02T00:00:00" maxDate="2026-01-01T00:00:00" count="364"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</sharedItems>
      <fieldGroup par="19"/>
    </cacheField>
    <cacheField name="Kota" numFmtId="0">
      <sharedItems count="4">
        <s v="Jakarta"/>
        <s v="Surabaya"/>
        <s v="Medan"/>
        <s v="Makassar"/>
      </sharedItems>
    </cacheField>
    <cacheField name="SKU" numFmtId="0">
      <sharedItems/>
    </cacheField>
    <cacheField name="Jumlah_Unit" numFmtId="0">
      <sharedItems containsSemiMixedTypes="0" containsString="0" containsNumber="1" containsInteger="1" minValue="1" maxValue="8"/>
    </cacheField>
    <cacheField name="Kode_Promo" numFmtId="0">
      <sharedItems/>
    </cacheField>
    <cacheField name="Nama_Produk" numFmtId="0">
      <sharedItems count="5">
        <s v="Laptop Pro 14"/>
        <s v="Mechanical Keyboard"/>
        <s v="Kursi Kerja Ergonomis"/>
        <s v="Monitor Ergonomis 27"/>
        <s v="Meja Adjustable"/>
      </sharedItems>
    </cacheField>
    <cacheField name="Kategori" numFmtId="0">
      <sharedItems count="3">
        <s v="Elektronik"/>
        <s v="Aksesori"/>
        <s v="Furnitur"/>
      </sharedItems>
    </cacheField>
    <cacheField name="Harga_Satuan" numFmtId="165">
      <sharedItems containsSemiMixedTypes="0" containsString="0" containsNumber="1" containsInteger="1" minValue="850000" maxValue="12000000"/>
    </cacheField>
    <cacheField name="HPP_Satuan" numFmtId="165">
      <sharedItems containsSemiMixedTypes="0" containsString="0" containsNumber="1" containsInteger="1" minValue="450000" maxValue="8500000"/>
    </cacheField>
    <cacheField name="Biaya_Kirim_Satuan" numFmtId="165">
      <sharedItems containsSemiMixedTypes="0" containsString="0" containsNumber="1" containsInteger="1" minValue="25000" maxValue="65000"/>
    </cacheField>
    <cacheField name="Persentase_Diskon" numFmtId="166">
      <sharedItems containsSemiMixedTypes="0" containsString="0" containsNumber="1" minValue="0" maxValue="0.3"/>
    </cacheField>
    <cacheField name="Total_Pendapatan_Kotor" numFmtId="165">
      <sharedItems containsSemiMixedTypes="0" containsString="0" containsNumber="1" containsInteger="1" minValue="2100000" maxValue="60000000"/>
    </cacheField>
    <cacheField name="Potongan_Diskon" numFmtId="165">
      <sharedItems containsSemiMixedTypes="0" containsString="0" containsNumber="1" containsInteger="1" minValue="0" maxValue="9600000"/>
    </cacheField>
    <cacheField name="Total_Pendapatan_Bersih" numFmtId="165">
      <sharedItems containsSemiMixedTypes="0" containsString="0" containsNumber="1" containsInteger="1" minValue="1470000" maxValue="60000000"/>
    </cacheField>
    <cacheField name="Total_Biaya" numFmtId="165">
      <sharedItems containsSemiMixedTypes="0" containsString="0" containsNumber="1" containsInteger="1" minValue="1225000" maxValue="42675000"/>
    </cacheField>
    <cacheField name="Laba_Kotor" numFmtId="165">
      <sharedItems containsSemiMixedTypes="0" containsString="0" containsNumber="1" containsInteger="1" minValue="235000" maxValue="17325000"/>
    </cacheField>
    <cacheField name="Margin_Keuntungan" numFmtId="0">
      <sharedItems containsSemiMixedTypes="0" containsString="0" containsNumber="1" minValue="0.10294117647058823" maxValue="0.41666666666666669"/>
    </cacheField>
    <cacheField name="Days (Tanggal)" numFmtId="0" databaseField="0">
      <fieldGroup base="1">
        <rangePr groupBy="days" startDate="2025-01-02T00:00:00" endDate="2026-01-01T00:00:00"/>
        <groupItems count="368">
          <s v="&lt;02/01/202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/01/2026"/>
        </groupItems>
      </fieldGroup>
    </cacheField>
    <cacheField name="Months (Tanggal)" numFmtId="0" databaseField="0">
      <fieldGroup base="1">
        <rangePr groupBy="months" startDate="2025-01-02T00:00:00" endDate="2026-01-01T00:00:00"/>
        <groupItems count="14">
          <s v="&lt;02/0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TRX-0001"/>
    <x v="0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002"/>
    <x v="0"/>
    <x v="1"/>
    <s v="SKU-102"/>
    <n v="5"/>
    <s v="FLASHSALE"/>
    <x v="1"/>
    <x v="1"/>
    <n v="850000"/>
    <n v="450000"/>
    <n v="35000"/>
    <n v="0.3"/>
    <n v="4250000"/>
    <n v="1275000"/>
    <n v="2975000"/>
    <n v="2425000"/>
    <n v="550000"/>
    <n v="0.18487394957983194"/>
  </r>
  <r>
    <s v="TRX-0003"/>
    <x v="1"/>
    <x v="2"/>
    <s v="SKU-104"/>
    <n v="1"/>
    <s v="NONE"/>
    <x v="2"/>
    <x v="2"/>
    <n v="2100000"/>
    <n v="1200000"/>
    <n v="50000"/>
    <n v="0"/>
    <n v="2100000"/>
    <n v="0"/>
    <n v="2100000"/>
    <n v="1250000"/>
    <n v="850000"/>
    <n v="0.40476190476190477"/>
  </r>
  <r>
    <s v="TRX-0004"/>
    <x v="2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005"/>
    <x v="3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006"/>
    <x v="4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007"/>
    <x v="5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008"/>
    <x v="6"/>
    <x v="3"/>
    <s v="SKU-105"/>
    <n v="4"/>
    <s v="SUPER20"/>
    <x v="4"/>
    <x v="2"/>
    <n v="4200000"/>
    <n v="2400000"/>
    <n v="65000"/>
    <n v="0.2"/>
    <n v="16800000"/>
    <n v="3360000"/>
    <n v="13440000"/>
    <n v="9860000"/>
    <n v="3580000"/>
    <n v="0.26636904761904762"/>
  </r>
  <r>
    <s v="TRX-0009"/>
    <x v="7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010"/>
    <x v="8"/>
    <x v="1"/>
    <s v="SKU-104"/>
    <n v="3"/>
    <s v="FLASHSALE"/>
    <x v="2"/>
    <x v="2"/>
    <n v="2100000"/>
    <n v="1200000"/>
    <n v="35000"/>
    <n v="0.3"/>
    <n v="6300000"/>
    <n v="1890000"/>
    <n v="4410000"/>
    <n v="3705000"/>
    <n v="705000"/>
    <n v="0.1598639455782313"/>
  </r>
  <r>
    <s v="TRX-0011"/>
    <x v="9"/>
    <x v="2"/>
    <s v="SKU-101"/>
    <n v="1"/>
    <s v="NONE"/>
    <x v="0"/>
    <x v="0"/>
    <n v="12000000"/>
    <n v="8500000"/>
    <n v="50000"/>
    <n v="0"/>
    <n v="12000000"/>
    <n v="0"/>
    <n v="12000000"/>
    <n v="8550000"/>
    <n v="3450000"/>
    <n v="0.28749999999999998"/>
  </r>
  <r>
    <s v="TRX-0012"/>
    <x v="10"/>
    <x v="3"/>
    <s v="SKU-102"/>
    <n v="8"/>
    <s v="SUPER20"/>
    <x v="1"/>
    <x v="1"/>
    <n v="850000"/>
    <n v="450000"/>
    <n v="65000"/>
    <n v="0.2"/>
    <n v="6800000"/>
    <n v="1360000"/>
    <n v="5440000"/>
    <n v="4120000"/>
    <n v="1320000"/>
    <n v="0.24264705882352941"/>
  </r>
  <r>
    <s v="TRX-0013"/>
    <x v="11"/>
    <x v="0"/>
    <s v="SKU-104"/>
    <n v="2"/>
    <s v="HEMAT10"/>
    <x v="2"/>
    <x v="2"/>
    <n v="2100000"/>
    <n v="1200000"/>
    <n v="25000"/>
    <n v="0.1"/>
    <n v="4200000"/>
    <n v="420000"/>
    <n v="3780000"/>
    <n v="2450000"/>
    <n v="1330000"/>
    <n v="0.35185185185185186"/>
  </r>
  <r>
    <s v="TRX-0014"/>
    <x v="12"/>
    <x v="1"/>
    <s v="SKU-103"/>
    <n v="4"/>
    <s v="FLASHSALE"/>
    <x v="3"/>
    <x v="0"/>
    <n v="3400000"/>
    <n v="2100000"/>
    <n v="35000"/>
    <n v="0.3"/>
    <n v="13600000"/>
    <n v="4080000"/>
    <n v="9520000"/>
    <n v="8540000"/>
    <n v="980000"/>
    <n v="0.10294117647058823"/>
  </r>
  <r>
    <s v="TRX-0015"/>
    <x v="13"/>
    <x v="2"/>
    <s v="SKU-105"/>
    <n v="1"/>
    <s v="NONE"/>
    <x v="4"/>
    <x v="2"/>
    <n v="4200000"/>
    <n v="2400000"/>
    <n v="50000"/>
    <n v="0"/>
    <n v="4200000"/>
    <n v="0"/>
    <n v="4200000"/>
    <n v="2450000"/>
    <n v="1750000"/>
    <n v="0.41666666666666669"/>
  </r>
  <r>
    <s v="TRX-0016"/>
    <x v="1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017"/>
    <x v="15"/>
    <x v="0"/>
    <s v="SKU-102"/>
    <n v="5"/>
    <s v="HEMAT10"/>
    <x v="1"/>
    <x v="1"/>
    <n v="850000"/>
    <n v="450000"/>
    <n v="25000"/>
    <n v="0.1"/>
    <n v="4250000"/>
    <n v="425000"/>
    <n v="3825000"/>
    <n v="2375000"/>
    <n v="1450000"/>
    <n v="0.37908496732026142"/>
  </r>
  <r>
    <s v="TRX-0018"/>
    <x v="16"/>
    <x v="1"/>
    <s v="SKU-105"/>
    <n v="3"/>
    <s v="FLASHSALE"/>
    <x v="4"/>
    <x v="2"/>
    <n v="4200000"/>
    <n v="2400000"/>
    <n v="35000"/>
    <n v="0.3"/>
    <n v="12600000"/>
    <n v="3780000"/>
    <n v="8820000"/>
    <n v="7305000"/>
    <n v="1515000"/>
    <n v="0.17176870748299319"/>
  </r>
  <r>
    <s v="TRX-0019"/>
    <x v="17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020"/>
    <x v="18"/>
    <x v="3"/>
    <s v="SKU-104"/>
    <n v="4"/>
    <s v="SUPER20"/>
    <x v="2"/>
    <x v="2"/>
    <n v="2100000"/>
    <n v="1200000"/>
    <n v="65000"/>
    <n v="0.2"/>
    <n v="8400000"/>
    <n v="1680000"/>
    <n v="6720000"/>
    <n v="5060000"/>
    <n v="1660000"/>
    <n v="0.24702380952380953"/>
  </r>
  <r>
    <s v="TRX-0021"/>
    <x v="19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022"/>
    <x v="20"/>
    <x v="1"/>
    <s v="SKU-102"/>
    <n v="7"/>
    <s v="FLASHSALE"/>
    <x v="1"/>
    <x v="1"/>
    <n v="850000"/>
    <n v="450000"/>
    <n v="35000"/>
    <n v="0.3"/>
    <n v="5950000"/>
    <n v="1785000"/>
    <n v="4165000"/>
    <n v="3395000"/>
    <n v="770000"/>
    <n v="0.18487394957983194"/>
  </r>
  <r>
    <s v="TRX-0023"/>
    <x v="21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024"/>
    <x v="22"/>
    <x v="3"/>
    <s v="SKU-103"/>
    <n v="1"/>
    <s v="SUPER20"/>
    <x v="3"/>
    <x v="0"/>
    <n v="3400000"/>
    <n v="2100000"/>
    <n v="65000"/>
    <n v="0.2"/>
    <n v="3400000"/>
    <n v="680000"/>
    <n v="2720000"/>
    <n v="2165000"/>
    <n v="555000"/>
    <n v="0.20404411764705882"/>
  </r>
  <r>
    <s v="TRX-0025"/>
    <x v="23"/>
    <x v="0"/>
    <s v="SKU-105"/>
    <n v="3"/>
    <s v="HEMAT10"/>
    <x v="4"/>
    <x v="2"/>
    <n v="4200000"/>
    <n v="2400000"/>
    <n v="25000"/>
    <n v="0.1"/>
    <n v="12600000"/>
    <n v="1260000"/>
    <n v="11340000"/>
    <n v="7275000"/>
    <n v="4065000"/>
    <n v="0.35846560846560849"/>
  </r>
  <r>
    <s v="TRX-0026"/>
    <x v="24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027"/>
    <x v="25"/>
    <x v="2"/>
    <s v="SKU-102"/>
    <n v="4"/>
    <s v="FLASHSALE"/>
    <x v="1"/>
    <x v="1"/>
    <n v="850000"/>
    <n v="450000"/>
    <n v="50000"/>
    <n v="0.3"/>
    <n v="3400000"/>
    <n v="1020000"/>
    <n v="2380000"/>
    <n v="2000000"/>
    <n v="380000"/>
    <n v="0.15966386554621848"/>
  </r>
  <r>
    <s v="TRX-0028"/>
    <x v="26"/>
    <x v="3"/>
    <s v="SKU-105"/>
    <n v="1"/>
    <s v="SUPER20"/>
    <x v="4"/>
    <x v="2"/>
    <n v="4200000"/>
    <n v="2400000"/>
    <n v="65000"/>
    <n v="0.2"/>
    <n v="4200000"/>
    <n v="840000"/>
    <n v="3360000"/>
    <n v="2465000"/>
    <n v="895000"/>
    <n v="0.26636904761904762"/>
  </r>
  <r>
    <s v="TRX-0029"/>
    <x v="27"/>
    <x v="0"/>
    <s v="SKU-103"/>
    <n v="5"/>
    <s v="HEMAT10"/>
    <x v="3"/>
    <x v="0"/>
    <n v="3400000"/>
    <n v="2100000"/>
    <n v="25000"/>
    <n v="0.1"/>
    <n v="17000000"/>
    <n v="1700000"/>
    <n v="15300000"/>
    <n v="10625000"/>
    <n v="4675000"/>
    <n v="0.30555555555555558"/>
  </r>
  <r>
    <s v="TRX-0030"/>
    <x v="28"/>
    <x v="1"/>
    <s v="SKU-104"/>
    <n v="2"/>
    <s v="FLASHSALE"/>
    <x v="2"/>
    <x v="2"/>
    <n v="2100000"/>
    <n v="1200000"/>
    <n v="35000"/>
    <n v="0.3"/>
    <n v="4200000"/>
    <n v="1260000"/>
    <n v="2940000"/>
    <n v="2470000"/>
    <n v="470000"/>
    <n v="0.1598639455782313"/>
  </r>
  <r>
    <s v="TRX-0031"/>
    <x v="29"/>
    <x v="2"/>
    <s v="SKU-101"/>
    <n v="3"/>
    <s v="NONE"/>
    <x v="0"/>
    <x v="0"/>
    <n v="12000000"/>
    <n v="8500000"/>
    <n v="50000"/>
    <n v="0"/>
    <n v="36000000"/>
    <n v="0"/>
    <n v="36000000"/>
    <n v="25650000"/>
    <n v="10350000"/>
    <n v="0.28749999999999998"/>
  </r>
  <r>
    <s v="TRX-0032"/>
    <x v="30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033"/>
    <x v="31"/>
    <x v="0"/>
    <s v="SKU-104"/>
    <n v="1"/>
    <s v="HEMAT10"/>
    <x v="2"/>
    <x v="2"/>
    <n v="2100000"/>
    <n v="1200000"/>
    <n v="25000"/>
    <n v="0.1"/>
    <n v="2100000"/>
    <n v="210000"/>
    <n v="1890000"/>
    <n v="1225000"/>
    <n v="665000"/>
    <n v="0.35185185185185186"/>
  </r>
  <r>
    <s v="TRX-0034"/>
    <x v="32"/>
    <x v="1"/>
    <s v="SKU-103"/>
    <n v="2"/>
    <s v="FLASHSALE"/>
    <x v="3"/>
    <x v="0"/>
    <n v="3400000"/>
    <n v="2100000"/>
    <n v="35000"/>
    <n v="0.3"/>
    <n v="6800000"/>
    <n v="2040000"/>
    <n v="4760000"/>
    <n v="4270000"/>
    <n v="490000"/>
    <n v="0.10294117647058823"/>
  </r>
  <r>
    <s v="TRX-0035"/>
    <x v="33"/>
    <x v="2"/>
    <s v="SKU-105"/>
    <n v="4"/>
    <s v="NONE"/>
    <x v="4"/>
    <x v="2"/>
    <n v="4200000"/>
    <n v="2400000"/>
    <n v="50000"/>
    <n v="0"/>
    <n v="16800000"/>
    <n v="0"/>
    <n v="16800000"/>
    <n v="9800000"/>
    <n v="7000000"/>
    <n v="0.41666666666666669"/>
  </r>
  <r>
    <s v="TRX-0036"/>
    <x v="34"/>
    <x v="3"/>
    <s v="SKU-101"/>
    <n v="1"/>
    <s v="SUPER20"/>
    <x v="0"/>
    <x v="0"/>
    <n v="12000000"/>
    <n v="8500000"/>
    <n v="65000"/>
    <n v="0.2"/>
    <n v="12000000"/>
    <n v="2400000"/>
    <n v="9600000"/>
    <n v="8565000"/>
    <n v="1035000"/>
    <n v="0.10781250000000001"/>
  </r>
  <r>
    <s v="TRX-0037"/>
    <x v="35"/>
    <x v="0"/>
    <s v="SKU-102"/>
    <n v="3"/>
    <s v="HEMAT10"/>
    <x v="1"/>
    <x v="1"/>
    <n v="850000"/>
    <n v="450000"/>
    <n v="25000"/>
    <n v="0.1"/>
    <n v="2550000"/>
    <n v="255000"/>
    <n v="2295000"/>
    <n v="1425000"/>
    <n v="870000"/>
    <n v="0.37908496732026142"/>
  </r>
  <r>
    <s v="TRX-0038"/>
    <x v="36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039"/>
    <x v="37"/>
    <x v="2"/>
    <s v="SKU-103"/>
    <n v="5"/>
    <s v="NONE"/>
    <x v="3"/>
    <x v="0"/>
    <n v="3400000"/>
    <n v="2100000"/>
    <n v="50000"/>
    <n v="0"/>
    <n v="17000000"/>
    <n v="0"/>
    <n v="17000000"/>
    <n v="10750000"/>
    <n v="6250000"/>
    <n v="0.36764705882352944"/>
  </r>
  <r>
    <s v="TRX-0040"/>
    <x v="38"/>
    <x v="3"/>
    <s v="SKU-104"/>
    <n v="2"/>
    <s v="SUPER20"/>
    <x v="2"/>
    <x v="2"/>
    <n v="2100000"/>
    <n v="1200000"/>
    <n v="65000"/>
    <n v="0.2"/>
    <n v="4200000"/>
    <n v="840000"/>
    <n v="3360000"/>
    <n v="2530000"/>
    <n v="830000"/>
    <n v="0.24702380952380953"/>
  </r>
  <r>
    <s v="TRX-0041"/>
    <x v="39"/>
    <x v="0"/>
    <s v="SKU-101"/>
    <n v="4"/>
    <s v="HEMAT10"/>
    <x v="0"/>
    <x v="0"/>
    <n v="12000000"/>
    <n v="8500000"/>
    <n v="25000"/>
    <n v="0.1"/>
    <n v="48000000"/>
    <n v="4800000"/>
    <n v="43200000"/>
    <n v="34100000"/>
    <n v="9100000"/>
    <n v="0.21064814814814814"/>
  </r>
  <r>
    <s v="TRX-0042"/>
    <x v="40"/>
    <x v="1"/>
    <s v="SKU-102"/>
    <n v="8"/>
    <s v="FLASHSALE"/>
    <x v="1"/>
    <x v="1"/>
    <n v="850000"/>
    <n v="450000"/>
    <n v="35000"/>
    <n v="0.3"/>
    <n v="6800000"/>
    <n v="2040000"/>
    <n v="4760000"/>
    <n v="3880000"/>
    <n v="880000"/>
    <n v="0.18487394957983194"/>
  </r>
  <r>
    <s v="TRX-0043"/>
    <x v="41"/>
    <x v="2"/>
    <s v="SKU-104"/>
    <n v="1"/>
    <s v="NONE"/>
    <x v="2"/>
    <x v="2"/>
    <n v="2100000"/>
    <n v="1200000"/>
    <n v="50000"/>
    <n v="0"/>
    <n v="2100000"/>
    <n v="0"/>
    <n v="2100000"/>
    <n v="1250000"/>
    <n v="850000"/>
    <n v="0.40476190476190477"/>
  </r>
  <r>
    <s v="TRX-0044"/>
    <x v="42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045"/>
    <x v="43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046"/>
    <x v="44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047"/>
    <x v="45"/>
    <x v="2"/>
    <s v="SKU-102"/>
    <n v="5"/>
    <s v="FLASHSALE"/>
    <x v="1"/>
    <x v="1"/>
    <n v="850000"/>
    <n v="450000"/>
    <n v="50000"/>
    <n v="0.3"/>
    <n v="4250000"/>
    <n v="1275000"/>
    <n v="2975000"/>
    <n v="2500000"/>
    <n v="475000"/>
    <n v="0.15966386554621848"/>
  </r>
  <r>
    <s v="TRX-0048"/>
    <x v="46"/>
    <x v="3"/>
    <s v="SKU-105"/>
    <n v="3"/>
    <s v="SUPER20"/>
    <x v="4"/>
    <x v="2"/>
    <n v="4200000"/>
    <n v="2400000"/>
    <n v="65000"/>
    <n v="0.2"/>
    <n v="12600000"/>
    <n v="2520000"/>
    <n v="10080000"/>
    <n v="7395000"/>
    <n v="2685000"/>
    <n v="0.26636904761904762"/>
  </r>
  <r>
    <s v="TRX-0049"/>
    <x v="47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050"/>
    <x v="48"/>
    <x v="1"/>
    <s v="SKU-104"/>
    <n v="4"/>
    <s v="FLASHSALE"/>
    <x v="2"/>
    <x v="2"/>
    <n v="2100000"/>
    <n v="1200000"/>
    <n v="35000"/>
    <n v="0.3"/>
    <n v="8400000"/>
    <n v="2520000"/>
    <n v="5880000"/>
    <n v="4940000"/>
    <n v="940000"/>
    <n v="0.1598639455782313"/>
  </r>
  <r>
    <s v="TRX-0051"/>
    <x v="4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052"/>
    <x v="50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053"/>
    <x v="51"/>
    <x v="0"/>
    <s v="SKU-104"/>
    <n v="3"/>
    <s v="HEMAT10"/>
    <x v="2"/>
    <x v="2"/>
    <n v="2100000"/>
    <n v="1200000"/>
    <n v="25000"/>
    <n v="0.1"/>
    <n v="6300000"/>
    <n v="630000"/>
    <n v="5670000"/>
    <n v="3675000"/>
    <n v="1995000"/>
    <n v="0.35185185185185186"/>
  </r>
  <r>
    <s v="TRX-0054"/>
    <x v="52"/>
    <x v="1"/>
    <s v="SKU-103"/>
    <n v="1"/>
    <s v="FLASHSALE"/>
    <x v="3"/>
    <x v="0"/>
    <n v="3400000"/>
    <n v="2100000"/>
    <n v="35000"/>
    <n v="0.3"/>
    <n v="3400000"/>
    <n v="1020000"/>
    <n v="2380000"/>
    <n v="2135000"/>
    <n v="245000"/>
    <n v="0.10294117647058823"/>
  </r>
  <r>
    <s v="TRX-0055"/>
    <x v="53"/>
    <x v="2"/>
    <s v="SKU-105"/>
    <n v="2"/>
    <s v="NONE"/>
    <x v="4"/>
    <x v="2"/>
    <n v="4200000"/>
    <n v="2400000"/>
    <n v="50000"/>
    <n v="0"/>
    <n v="8400000"/>
    <n v="0"/>
    <n v="8400000"/>
    <n v="4900000"/>
    <n v="3500000"/>
    <n v="0.41666666666666669"/>
  </r>
  <r>
    <s v="TRX-0056"/>
    <x v="54"/>
    <x v="3"/>
    <s v="SKU-101"/>
    <n v="3"/>
    <s v="SUPER20"/>
    <x v="0"/>
    <x v="0"/>
    <n v="12000000"/>
    <n v="8500000"/>
    <n v="65000"/>
    <n v="0.2"/>
    <n v="36000000"/>
    <n v="7200000"/>
    <n v="28800000"/>
    <n v="25695000"/>
    <n v="3105000"/>
    <n v="0.10781250000000001"/>
  </r>
  <r>
    <s v="TRX-0057"/>
    <x v="55"/>
    <x v="0"/>
    <s v="SKU-102"/>
    <n v="4"/>
    <s v="HEMAT10"/>
    <x v="1"/>
    <x v="1"/>
    <n v="850000"/>
    <n v="450000"/>
    <n v="25000"/>
    <n v="0.1"/>
    <n v="3400000"/>
    <n v="340000"/>
    <n v="3060000"/>
    <n v="1900000"/>
    <n v="1160000"/>
    <n v="0.37908496732026142"/>
  </r>
  <r>
    <s v="TRX-0058"/>
    <x v="56"/>
    <x v="1"/>
    <s v="SKU-105"/>
    <n v="1"/>
    <s v="FLASHSALE"/>
    <x v="4"/>
    <x v="2"/>
    <n v="4200000"/>
    <n v="2400000"/>
    <n v="35000"/>
    <n v="0.3"/>
    <n v="4200000"/>
    <n v="1260000"/>
    <n v="2940000"/>
    <n v="2435000"/>
    <n v="505000"/>
    <n v="0.17176870748299319"/>
  </r>
  <r>
    <s v="TRX-0059"/>
    <x v="57"/>
    <x v="2"/>
    <s v="SKU-103"/>
    <n v="6"/>
    <s v="NONE"/>
    <x v="3"/>
    <x v="0"/>
    <n v="3400000"/>
    <n v="2100000"/>
    <n v="50000"/>
    <n v="0"/>
    <n v="20400000"/>
    <n v="0"/>
    <n v="20400000"/>
    <n v="12900000"/>
    <n v="7500000"/>
    <n v="0.36764705882352944"/>
  </r>
  <r>
    <s v="TRX-0060"/>
    <x v="58"/>
    <x v="3"/>
    <s v="SKU-104"/>
    <n v="2"/>
    <s v="SUPER20"/>
    <x v="2"/>
    <x v="2"/>
    <n v="2100000"/>
    <n v="1200000"/>
    <n v="65000"/>
    <n v="0.2"/>
    <n v="4200000"/>
    <n v="840000"/>
    <n v="3360000"/>
    <n v="2530000"/>
    <n v="830000"/>
    <n v="0.24702380952380953"/>
  </r>
  <r>
    <s v="TRX-0061"/>
    <x v="59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062"/>
    <x v="60"/>
    <x v="1"/>
    <s v="SKU-102"/>
    <n v="6"/>
    <s v="FLASHSALE"/>
    <x v="1"/>
    <x v="1"/>
    <n v="850000"/>
    <n v="450000"/>
    <n v="35000"/>
    <n v="0.3"/>
    <n v="5100000"/>
    <n v="1530000"/>
    <n v="3570000"/>
    <n v="2910000"/>
    <n v="660000"/>
    <n v="0.18487394957983194"/>
  </r>
  <r>
    <s v="TRX-0063"/>
    <x v="61"/>
    <x v="2"/>
    <s v="SKU-104"/>
    <n v="3"/>
    <s v="NONE"/>
    <x v="2"/>
    <x v="2"/>
    <n v="2100000"/>
    <n v="1200000"/>
    <n v="50000"/>
    <n v="0"/>
    <n v="6300000"/>
    <n v="0"/>
    <n v="6300000"/>
    <n v="3750000"/>
    <n v="2550000"/>
    <n v="0.40476190476190477"/>
  </r>
  <r>
    <s v="TRX-0064"/>
    <x v="62"/>
    <x v="3"/>
    <s v="SKU-103"/>
    <n v="4"/>
    <s v="SUPER20"/>
    <x v="3"/>
    <x v="0"/>
    <n v="3400000"/>
    <n v="2100000"/>
    <n v="65000"/>
    <n v="0.2"/>
    <n v="13600000"/>
    <n v="2720000"/>
    <n v="10880000"/>
    <n v="8660000"/>
    <n v="2220000"/>
    <n v="0.20404411764705882"/>
  </r>
  <r>
    <s v="TRX-0065"/>
    <x v="63"/>
    <x v="0"/>
    <s v="SKU-105"/>
    <n v="1"/>
    <s v="HEMAT10"/>
    <x v="4"/>
    <x v="2"/>
    <n v="4200000"/>
    <n v="2400000"/>
    <n v="25000"/>
    <n v="0.1"/>
    <n v="4200000"/>
    <n v="420000"/>
    <n v="3780000"/>
    <n v="2425000"/>
    <n v="1355000"/>
    <n v="0.35846560846560849"/>
  </r>
  <r>
    <s v="TRX-0066"/>
    <x v="64"/>
    <x v="1"/>
    <s v="SKU-101"/>
    <n v="3"/>
    <s v="NONE"/>
    <x v="0"/>
    <x v="0"/>
    <n v="12000000"/>
    <n v="8500000"/>
    <n v="35000"/>
    <n v="0"/>
    <n v="36000000"/>
    <n v="0"/>
    <n v="36000000"/>
    <n v="25605000"/>
    <n v="10395000"/>
    <n v="0.28875000000000001"/>
  </r>
  <r>
    <s v="TRX-0067"/>
    <x v="65"/>
    <x v="2"/>
    <s v="SKU-102"/>
    <n v="5"/>
    <s v="FLASHSALE"/>
    <x v="1"/>
    <x v="1"/>
    <n v="850000"/>
    <n v="450000"/>
    <n v="50000"/>
    <n v="0.3"/>
    <n v="4250000"/>
    <n v="1275000"/>
    <n v="2975000"/>
    <n v="2500000"/>
    <n v="475000"/>
    <n v="0.15966386554621848"/>
  </r>
  <r>
    <s v="TRX-0068"/>
    <x v="66"/>
    <x v="3"/>
    <s v="SKU-105"/>
    <n v="2"/>
    <s v="SUPER20"/>
    <x v="4"/>
    <x v="2"/>
    <n v="4200000"/>
    <n v="2400000"/>
    <n v="65000"/>
    <n v="0.2"/>
    <n v="8400000"/>
    <n v="1680000"/>
    <n v="6720000"/>
    <n v="4930000"/>
    <n v="1790000"/>
    <n v="0.26636904761904762"/>
  </r>
  <r>
    <s v="TRX-0069"/>
    <x v="67"/>
    <x v="0"/>
    <s v="SKU-103"/>
    <n v="3"/>
    <s v="HEMAT10"/>
    <x v="3"/>
    <x v="0"/>
    <n v="3400000"/>
    <n v="2100000"/>
    <n v="25000"/>
    <n v="0.1"/>
    <n v="10200000"/>
    <n v="1020000"/>
    <n v="9180000"/>
    <n v="6375000"/>
    <n v="2805000"/>
    <n v="0.30555555555555558"/>
  </r>
  <r>
    <s v="TRX-0070"/>
    <x v="68"/>
    <x v="1"/>
    <s v="SKU-104"/>
    <n v="1"/>
    <s v="FLASHSALE"/>
    <x v="2"/>
    <x v="2"/>
    <n v="2100000"/>
    <n v="1200000"/>
    <n v="35000"/>
    <n v="0.3"/>
    <n v="2100000"/>
    <n v="630000"/>
    <n v="1470000"/>
    <n v="1235000"/>
    <n v="235000"/>
    <n v="0.1598639455782313"/>
  </r>
  <r>
    <s v="TRX-0071"/>
    <x v="6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072"/>
    <x v="70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073"/>
    <x v="71"/>
    <x v="0"/>
    <s v="SKU-104"/>
    <n v="4"/>
    <s v="HEMAT10"/>
    <x v="2"/>
    <x v="2"/>
    <n v="2100000"/>
    <n v="1200000"/>
    <n v="25000"/>
    <n v="0.1"/>
    <n v="8400000"/>
    <n v="840000"/>
    <n v="7560000"/>
    <n v="4900000"/>
    <n v="2660000"/>
    <n v="0.35185185185185186"/>
  </r>
  <r>
    <s v="TRX-0074"/>
    <x v="72"/>
    <x v="1"/>
    <s v="SKU-103"/>
    <n v="2"/>
    <s v="FLASHSALE"/>
    <x v="3"/>
    <x v="0"/>
    <n v="3400000"/>
    <n v="2100000"/>
    <n v="35000"/>
    <n v="0.3"/>
    <n v="6800000"/>
    <n v="2040000"/>
    <n v="4760000"/>
    <n v="4270000"/>
    <n v="490000"/>
    <n v="0.10294117647058823"/>
  </r>
  <r>
    <s v="TRX-0075"/>
    <x v="73"/>
    <x v="2"/>
    <s v="SKU-105"/>
    <n v="3"/>
    <s v="NONE"/>
    <x v="4"/>
    <x v="2"/>
    <n v="4200000"/>
    <n v="2400000"/>
    <n v="50000"/>
    <n v="0"/>
    <n v="12600000"/>
    <n v="0"/>
    <n v="12600000"/>
    <n v="7350000"/>
    <n v="5250000"/>
    <n v="0.41666666666666669"/>
  </r>
  <r>
    <s v="TRX-0076"/>
    <x v="74"/>
    <x v="3"/>
    <s v="SKU-101"/>
    <n v="1"/>
    <s v="SUPER20"/>
    <x v="0"/>
    <x v="0"/>
    <n v="12000000"/>
    <n v="8500000"/>
    <n v="65000"/>
    <n v="0.2"/>
    <n v="12000000"/>
    <n v="2400000"/>
    <n v="9600000"/>
    <n v="8565000"/>
    <n v="1035000"/>
    <n v="0.10781250000000001"/>
  </r>
  <r>
    <s v="TRX-0077"/>
    <x v="75"/>
    <x v="0"/>
    <s v="SKU-102"/>
    <n v="5"/>
    <s v="HEMAT10"/>
    <x v="1"/>
    <x v="1"/>
    <n v="850000"/>
    <n v="450000"/>
    <n v="25000"/>
    <n v="0.1"/>
    <n v="4250000"/>
    <n v="425000"/>
    <n v="3825000"/>
    <n v="2375000"/>
    <n v="1450000"/>
    <n v="0.37908496732026142"/>
  </r>
  <r>
    <s v="TRX-0078"/>
    <x v="76"/>
    <x v="1"/>
    <s v="SKU-105"/>
    <n v="4"/>
    <s v="FLASHSALE"/>
    <x v="4"/>
    <x v="2"/>
    <n v="4200000"/>
    <n v="2400000"/>
    <n v="35000"/>
    <n v="0.3"/>
    <n v="16800000"/>
    <n v="5040000"/>
    <n v="11760000"/>
    <n v="9740000"/>
    <n v="2020000"/>
    <n v="0.17176870748299319"/>
  </r>
  <r>
    <s v="TRX-0079"/>
    <x v="77"/>
    <x v="2"/>
    <s v="SKU-103"/>
    <n v="1"/>
    <s v="NONE"/>
    <x v="3"/>
    <x v="0"/>
    <n v="3400000"/>
    <n v="2100000"/>
    <n v="50000"/>
    <n v="0"/>
    <n v="3400000"/>
    <n v="0"/>
    <n v="3400000"/>
    <n v="2150000"/>
    <n v="1250000"/>
    <n v="0.36764705882352944"/>
  </r>
  <r>
    <s v="TRX-0080"/>
    <x v="78"/>
    <x v="3"/>
    <s v="SKU-104"/>
    <n v="3"/>
    <s v="SUPER20"/>
    <x v="2"/>
    <x v="2"/>
    <n v="2100000"/>
    <n v="1200000"/>
    <n v="65000"/>
    <n v="0.2"/>
    <n v="6300000"/>
    <n v="1260000"/>
    <n v="5040000"/>
    <n v="3795000"/>
    <n v="1245000"/>
    <n v="0.24702380952380953"/>
  </r>
  <r>
    <s v="TRX-0081"/>
    <x v="79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082"/>
    <x v="80"/>
    <x v="1"/>
    <s v="SKU-102"/>
    <n v="8"/>
    <s v="FLASHSALE"/>
    <x v="1"/>
    <x v="1"/>
    <n v="850000"/>
    <n v="450000"/>
    <n v="35000"/>
    <n v="0.3"/>
    <n v="6800000"/>
    <n v="2040000"/>
    <n v="4760000"/>
    <n v="3880000"/>
    <n v="880000"/>
    <n v="0.18487394957983194"/>
  </r>
  <r>
    <s v="TRX-0083"/>
    <x v="81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084"/>
    <x v="82"/>
    <x v="3"/>
    <s v="SKU-103"/>
    <n v="5"/>
    <s v="SUPER20"/>
    <x v="3"/>
    <x v="0"/>
    <n v="3400000"/>
    <n v="2100000"/>
    <n v="65000"/>
    <n v="0.2"/>
    <n v="17000000"/>
    <n v="3400000"/>
    <n v="13600000"/>
    <n v="10825000"/>
    <n v="2775000"/>
    <n v="0.20404411764705882"/>
  </r>
  <r>
    <s v="TRX-0085"/>
    <x v="83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086"/>
    <x v="84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087"/>
    <x v="85"/>
    <x v="2"/>
    <s v="SKU-102"/>
    <n v="4"/>
    <s v="FLASHSALE"/>
    <x v="1"/>
    <x v="1"/>
    <n v="850000"/>
    <n v="450000"/>
    <n v="50000"/>
    <n v="0.3"/>
    <n v="3400000"/>
    <n v="1020000"/>
    <n v="2380000"/>
    <n v="2000000"/>
    <n v="380000"/>
    <n v="0.15966386554621848"/>
  </r>
  <r>
    <s v="TRX-0088"/>
    <x v="86"/>
    <x v="3"/>
    <s v="SKU-105"/>
    <n v="3"/>
    <s v="SUPER20"/>
    <x v="4"/>
    <x v="2"/>
    <n v="4200000"/>
    <n v="2400000"/>
    <n v="65000"/>
    <n v="0.2"/>
    <n v="12600000"/>
    <n v="2520000"/>
    <n v="10080000"/>
    <n v="7395000"/>
    <n v="2685000"/>
    <n v="0.26636904761904762"/>
  </r>
  <r>
    <s v="TRX-0089"/>
    <x v="87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090"/>
    <x v="88"/>
    <x v="1"/>
    <s v="SKU-104"/>
    <n v="5"/>
    <s v="FLASHSALE"/>
    <x v="2"/>
    <x v="2"/>
    <n v="2100000"/>
    <n v="1200000"/>
    <n v="35000"/>
    <n v="0.3"/>
    <n v="10500000"/>
    <n v="3150000"/>
    <n v="7350000"/>
    <n v="6175000"/>
    <n v="1175000"/>
    <n v="0.1598639455782313"/>
  </r>
  <r>
    <s v="TRX-0091"/>
    <x v="89"/>
    <x v="2"/>
    <s v="SKU-101"/>
    <n v="3"/>
    <s v="NONE"/>
    <x v="0"/>
    <x v="0"/>
    <n v="12000000"/>
    <n v="8500000"/>
    <n v="50000"/>
    <n v="0"/>
    <n v="36000000"/>
    <n v="0"/>
    <n v="36000000"/>
    <n v="25650000"/>
    <n v="10350000"/>
    <n v="0.28749999999999998"/>
  </r>
  <r>
    <s v="TRX-0092"/>
    <x v="90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093"/>
    <x v="91"/>
    <x v="0"/>
    <s v="SKU-104"/>
    <n v="1"/>
    <s v="HEMAT10"/>
    <x v="2"/>
    <x v="2"/>
    <n v="2100000"/>
    <n v="1200000"/>
    <n v="25000"/>
    <n v="0.1"/>
    <n v="2100000"/>
    <n v="210000"/>
    <n v="1890000"/>
    <n v="1225000"/>
    <n v="665000"/>
    <n v="0.35185185185185186"/>
  </r>
  <r>
    <s v="TRX-0094"/>
    <x v="92"/>
    <x v="1"/>
    <s v="SKU-103"/>
    <n v="3"/>
    <s v="FLASHSALE"/>
    <x v="3"/>
    <x v="0"/>
    <n v="3400000"/>
    <n v="2100000"/>
    <n v="35000"/>
    <n v="0.3"/>
    <n v="10200000"/>
    <n v="3060000"/>
    <n v="7140000"/>
    <n v="6405000"/>
    <n v="735000"/>
    <n v="0.10294117647058823"/>
  </r>
  <r>
    <s v="TRX-0095"/>
    <x v="93"/>
    <x v="2"/>
    <s v="SKU-105"/>
    <n v="2"/>
    <s v="NONE"/>
    <x v="4"/>
    <x v="2"/>
    <n v="4200000"/>
    <n v="2400000"/>
    <n v="50000"/>
    <n v="0"/>
    <n v="8400000"/>
    <n v="0"/>
    <n v="8400000"/>
    <n v="4900000"/>
    <n v="3500000"/>
    <n v="0.41666666666666669"/>
  </r>
  <r>
    <s v="TRX-0096"/>
    <x v="9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097"/>
    <x v="95"/>
    <x v="0"/>
    <s v="SKU-102"/>
    <n v="7"/>
    <s v="HEMAT10"/>
    <x v="1"/>
    <x v="1"/>
    <n v="850000"/>
    <n v="450000"/>
    <n v="25000"/>
    <n v="0.1"/>
    <n v="5950000"/>
    <n v="595000"/>
    <n v="5355000"/>
    <n v="3325000"/>
    <n v="2030000"/>
    <n v="0.37908496732026142"/>
  </r>
  <r>
    <s v="TRX-0098"/>
    <x v="96"/>
    <x v="1"/>
    <s v="SKU-105"/>
    <n v="1"/>
    <s v="FLASHSALE"/>
    <x v="4"/>
    <x v="2"/>
    <n v="4200000"/>
    <n v="2400000"/>
    <n v="35000"/>
    <n v="0.3"/>
    <n v="4200000"/>
    <n v="1260000"/>
    <n v="2940000"/>
    <n v="2435000"/>
    <n v="505000"/>
    <n v="0.17176870748299319"/>
  </r>
  <r>
    <s v="TRX-0099"/>
    <x v="97"/>
    <x v="2"/>
    <s v="SKU-103"/>
    <n v="4"/>
    <s v="NONE"/>
    <x v="3"/>
    <x v="0"/>
    <n v="3400000"/>
    <n v="2100000"/>
    <n v="50000"/>
    <n v="0"/>
    <n v="13600000"/>
    <n v="0"/>
    <n v="13600000"/>
    <n v="8600000"/>
    <n v="5000000"/>
    <n v="0.36764705882352944"/>
  </r>
  <r>
    <s v="TRX-0100"/>
    <x v="98"/>
    <x v="3"/>
    <s v="SKU-104"/>
    <n v="2"/>
    <s v="SUPER20"/>
    <x v="2"/>
    <x v="2"/>
    <n v="2100000"/>
    <n v="1200000"/>
    <n v="65000"/>
    <n v="0.2"/>
    <n v="4200000"/>
    <n v="840000"/>
    <n v="3360000"/>
    <n v="2530000"/>
    <n v="830000"/>
    <n v="0.24702380952380953"/>
  </r>
  <r>
    <s v="TRX-0101"/>
    <x v="99"/>
    <x v="0"/>
    <s v="SKU-101"/>
    <n v="1"/>
    <s v="HEMAT10"/>
    <x v="0"/>
    <x v="0"/>
    <n v="12000000"/>
    <n v="8500000"/>
    <n v="25000"/>
    <n v="0.1"/>
    <n v="12000000"/>
    <n v="1200000"/>
    <n v="10800000"/>
    <n v="8525000"/>
    <n v="2275000"/>
    <n v="0.21064814814814814"/>
  </r>
  <r>
    <s v="TRX-0102"/>
    <x v="100"/>
    <x v="1"/>
    <s v="SKU-102"/>
    <n v="5"/>
    <s v="FLASHSALE"/>
    <x v="1"/>
    <x v="1"/>
    <n v="850000"/>
    <n v="450000"/>
    <n v="35000"/>
    <n v="0.3"/>
    <n v="4250000"/>
    <n v="1275000"/>
    <n v="2975000"/>
    <n v="2425000"/>
    <n v="550000"/>
    <n v="0.18487394957983194"/>
  </r>
  <r>
    <s v="TRX-0103"/>
    <x v="101"/>
    <x v="2"/>
    <s v="SKU-104"/>
    <n v="3"/>
    <s v="NONE"/>
    <x v="2"/>
    <x v="2"/>
    <n v="2100000"/>
    <n v="1200000"/>
    <n v="50000"/>
    <n v="0"/>
    <n v="6300000"/>
    <n v="0"/>
    <n v="6300000"/>
    <n v="3750000"/>
    <n v="2550000"/>
    <n v="0.40476190476190477"/>
  </r>
  <r>
    <s v="TRX-0104"/>
    <x v="102"/>
    <x v="3"/>
    <s v="SKU-103"/>
    <n v="2"/>
    <s v="SUPER20"/>
    <x v="3"/>
    <x v="0"/>
    <n v="3400000"/>
    <n v="2100000"/>
    <n v="65000"/>
    <n v="0.2"/>
    <n v="6800000"/>
    <n v="1360000"/>
    <n v="5440000"/>
    <n v="4330000"/>
    <n v="1110000"/>
    <n v="0.20404411764705882"/>
  </r>
  <r>
    <s v="TRX-0105"/>
    <x v="103"/>
    <x v="0"/>
    <s v="SKU-105"/>
    <n v="4"/>
    <s v="HEMAT10"/>
    <x v="4"/>
    <x v="2"/>
    <n v="4200000"/>
    <n v="2400000"/>
    <n v="25000"/>
    <n v="0.1"/>
    <n v="16800000"/>
    <n v="1680000"/>
    <n v="15120000"/>
    <n v="9700000"/>
    <n v="5420000"/>
    <n v="0.35846560846560849"/>
  </r>
  <r>
    <s v="TRX-0106"/>
    <x v="104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107"/>
    <x v="105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108"/>
    <x v="106"/>
    <x v="3"/>
    <s v="SKU-105"/>
    <n v="1"/>
    <s v="SUPER20"/>
    <x v="4"/>
    <x v="2"/>
    <n v="4200000"/>
    <n v="2400000"/>
    <n v="65000"/>
    <n v="0.2"/>
    <n v="4200000"/>
    <n v="840000"/>
    <n v="3360000"/>
    <n v="2465000"/>
    <n v="895000"/>
    <n v="0.26636904761904762"/>
  </r>
  <r>
    <s v="TRX-0109"/>
    <x v="107"/>
    <x v="0"/>
    <s v="SKU-103"/>
    <n v="3"/>
    <s v="HEMAT10"/>
    <x v="3"/>
    <x v="0"/>
    <n v="3400000"/>
    <n v="2100000"/>
    <n v="25000"/>
    <n v="0.1"/>
    <n v="10200000"/>
    <n v="1020000"/>
    <n v="9180000"/>
    <n v="6375000"/>
    <n v="2805000"/>
    <n v="0.30555555555555558"/>
  </r>
  <r>
    <s v="TRX-0110"/>
    <x v="108"/>
    <x v="1"/>
    <s v="SKU-104"/>
    <n v="2"/>
    <s v="FLASHSALE"/>
    <x v="2"/>
    <x v="2"/>
    <n v="2100000"/>
    <n v="1200000"/>
    <n v="35000"/>
    <n v="0.3"/>
    <n v="4200000"/>
    <n v="1260000"/>
    <n v="2940000"/>
    <n v="2470000"/>
    <n v="470000"/>
    <n v="0.1598639455782313"/>
  </r>
  <r>
    <s v="TRX-0111"/>
    <x v="109"/>
    <x v="2"/>
    <s v="SKU-101"/>
    <n v="4"/>
    <s v="NONE"/>
    <x v="0"/>
    <x v="0"/>
    <n v="12000000"/>
    <n v="8500000"/>
    <n v="50000"/>
    <n v="0"/>
    <n v="48000000"/>
    <n v="0"/>
    <n v="48000000"/>
    <n v="34200000"/>
    <n v="13800000"/>
    <n v="0.28749999999999998"/>
  </r>
  <r>
    <s v="TRX-0112"/>
    <x v="110"/>
    <x v="3"/>
    <s v="SKU-102"/>
    <n v="8"/>
    <s v="SUPER20"/>
    <x v="1"/>
    <x v="1"/>
    <n v="850000"/>
    <n v="450000"/>
    <n v="65000"/>
    <n v="0.2"/>
    <n v="6800000"/>
    <n v="1360000"/>
    <n v="5440000"/>
    <n v="4120000"/>
    <n v="1320000"/>
    <n v="0.24264705882352941"/>
  </r>
  <r>
    <s v="TRX-0113"/>
    <x v="111"/>
    <x v="0"/>
    <s v="SKU-104"/>
    <n v="2"/>
    <s v="HEMAT10"/>
    <x v="2"/>
    <x v="2"/>
    <n v="2100000"/>
    <n v="1200000"/>
    <n v="25000"/>
    <n v="0.1"/>
    <n v="4200000"/>
    <n v="420000"/>
    <n v="3780000"/>
    <n v="2450000"/>
    <n v="1330000"/>
    <n v="0.35185185185185186"/>
  </r>
  <r>
    <s v="TRX-0114"/>
    <x v="112"/>
    <x v="1"/>
    <s v="SKU-103"/>
    <n v="5"/>
    <s v="FLASHSALE"/>
    <x v="3"/>
    <x v="0"/>
    <n v="3400000"/>
    <n v="2100000"/>
    <n v="35000"/>
    <n v="0.3"/>
    <n v="17000000"/>
    <n v="5100000"/>
    <n v="11900000"/>
    <n v="10675000"/>
    <n v="1225000"/>
    <n v="0.10294117647058823"/>
  </r>
  <r>
    <s v="TRX-0115"/>
    <x v="113"/>
    <x v="2"/>
    <s v="SKU-105"/>
    <n v="1"/>
    <s v="NONE"/>
    <x v="4"/>
    <x v="2"/>
    <n v="4200000"/>
    <n v="2400000"/>
    <n v="50000"/>
    <n v="0"/>
    <n v="4200000"/>
    <n v="0"/>
    <n v="4200000"/>
    <n v="2450000"/>
    <n v="1750000"/>
    <n v="0.41666666666666669"/>
  </r>
  <r>
    <s v="TRX-0116"/>
    <x v="114"/>
    <x v="3"/>
    <s v="SKU-101"/>
    <n v="3"/>
    <s v="SUPER20"/>
    <x v="0"/>
    <x v="0"/>
    <n v="12000000"/>
    <n v="8500000"/>
    <n v="65000"/>
    <n v="0.2"/>
    <n v="36000000"/>
    <n v="7200000"/>
    <n v="28800000"/>
    <n v="25695000"/>
    <n v="3105000"/>
    <n v="0.10781250000000001"/>
  </r>
  <r>
    <s v="TRX-0117"/>
    <x v="115"/>
    <x v="0"/>
    <s v="SKU-102"/>
    <n v="4"/>
    <s v="HEMAT10"/>
    <x v="1"/>
    <x v="1"/>
    <n v="850000"/>
    <n v="450000"/>
    <n v="25000"/>
    <n v="0.1"/>
    <n v="3400000"/>
    <n v="340000"/>
    <n v="3060000"/>
    <n v="1900000"/>
    <n v="1160000"/>
    <n v="0.37908496732026142"/>
  </r>
  <r>
    <s v="TRX-0118"/>
    <x v="116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119"/>
    <x v="117"/>
    <x v="2"/>
    <s v="SKU-103"/>
    <n v="3"/>
    <s v="NONE"/>
    <x v="3"/>
    <x v="0"/>
    <n v="3400000"/>
    <n v="2100000"/>
    <n v="50000"/>
    <n v="0"/>
    <n v="10200000"/>
    <n v="0"/>
    <n v="10200000"/>
    <n v="6450000"/>
    <n v="3750000"/>
    <n v="0.36764705882352944"/>
  </r>
  <r>
    <s v="TRX-0120"/>
    <x v="118"/>
    <x v="3"/>
    <s v="SKU-104"/>
    <n v="1"/>
    <s v="SUPER20"/>
    <x v="2"/>
    <x v="2"/>
    <n v="2100000"/>
    <n v="1200000"/>
    <n v="65000"/>
    <n v="0.2"/>
    <n v="2100000"/>
    <n v="420000"/>
    <n v="1680000"/>
    <n v="1265000"/>
    <n v="415000"/>
    <n v="0.24702380952380953"/>
  </r>
  <r>
    <s v="TRX-0121"/>
    <x v="119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122"/>
    <x v="120"/>
    <x v="1"/>
    <s v="SKU-102"/>
    <n v="7"/>
    <s v="FLASHSALE"/>
    <x v="1"/>
    <x v="1"/>
    <n v="850000"/>
    <n v="450000"/>
    <n v="35000"/>
    <n v="0.3"/>
    <n v="5950000"/>
    <n v="1785000"/>
    <n v="4165000"/>
    <n v="3395000"/>
    <n v="770000"/>
    <n v="0.18487394957983194"/>
  </r>
  <r>
    <s v="TRX-0123"/>
    <x v="121"/>
    <x v="2"/>
    <s v="SKU-104"/>
    <n v="4"/>
    <s v="NONE"/>
    <x v="2"/>
    <x v="2"/>
    <n v="2100000"/>
    <n v="1200000"/>
    <n v="50000"/>
    <n v="0"/>
    <n v="8400000"/>
    <n v="0"/>
    <n v="8400000"/>
    <n v="5000000"/>
    <n v="3400000"/>
    <n v="0.40476190476190477"/>
  </r>
  <r>
    <s v="TRX-0124"/>
    <x v="122"/>
    <x v="3"/>
    <s v="SKU-103"/>
    <n v="2"/>
    <s v="SUPER20"/>
    <x v="3"/>
    <x v="0"/>
    <n v="3400000"/>
    <n v="2100000"/>
    <n v="65000"/>
    <n v="0.2"/>
    <n v="6800000"/>
    <n v="1360000"/>
    <n v="5440000"/>
    <n v="4330000"/>
    <n v="1110000"/>
    <n v="0.20404411764705882"/>
  </r>
  <r>
    <s v="TRX-0125"/>
    <x v="123"/>
    <x v="0"/>
    <s v="SKU-105"/>
    <n v="3"/>
    <s v="HEMAT10"/>
    <x v="4"/>
    <x v="2"/>
    <n v="4200000"/>
    <n v="2400000"/>
    <n v="25000"/>
    <n v="0.1"/>
    <n v="12600000"/>
    <n v="1260000"/>
    <n v="11340000"/>
    <n v="7275000"/>
    <n v="4065000"/>
    <n v="0.35846560846560849"/>
  </r>
  <r>
    <s v="TRX-0126"/>
    <x v="124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127"/>
    <x v="125"/>
    <x v="2"/>
    <s v="SKU-102"/>
    <n v="5"/>
    <s v="FLASHSALE"/>
    <x v="1"/>
    <x v="1"/>
    <n v="850000"/>
    <n v="450000"/>
    <n v="50000"/>
    <n v="0.3"/>
    <n v="4250000"/>
    <n v="1275000"/>
    <n v="2975000"/>
    <n v="2500000"/>
    <n v="475000"/>
    <n v="0.15966386554621848"/>
  </r>
  <r>
    <s v="TRX-0128"/>
    <x v="126"/>
    <x v="3"/>
    <s v="SKU-105"/>
    <n v="2"/>
    <s v="SUPER20"/>
    <x v="4"/>
    <x v="2"/>
    <n v="4200000"/>
    <n v="2400000"/>
    <n v="65000"/>
    <n v="0.2"/>
    <n v="8400000"/>
    <n v="1680000"/>
    <n v="6720000"/>
    <n v="4930000"/>
    <n v="1790000"/>
    <n v="0.26636904761904762"/>
  </r>
  <r>
    <s v="TRX-0129"/>
    <x v="127"/>
    <x v="0"/>
    <s v="SKU-103"/>
    <n v="4"/>
    <s v="HEMAT10"/>
    <x v="3"/>
    <x v="0"/>
    <n v="3400000"/>
    <n v="2100000"/>
    <n v="25000"/>
    <n v="0.1"/>
    <n v="13600000"/>
    <n v="1360000"/>
    <n v="12240000"/>
    <n v="8500000"/>
    <n v="3740000"/>
    <n v="0.30555555555555558"/>
  </r>
  <r>
    <s v="TRX-0130"/>
    <x v="128"/>
    <x v="1"/>
    <s v="SKU-104"/>
    <n v="3"/>
    <s v="FLASHSALE"/>
    <x v="2"/>
    <x v="2"/>
    <n v="2100000"/>
    <n v="1200000"/>
    <n v="35000"/>
    <n v="0.3"/>
    <n v="6300000"/>
    <n v="1890000"/>
    <n v="4410000"/>
    <n v="3705000"/>
    <n v="705000"/>
    <n v="0.1598639455782313"/>
  </r>
  <r>
    <s v="TRX-0131"/>
    <x v="12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132"/>
    <x v="130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133"/>
    <x v="131"/>
    <x v="0"/>
    <s v="SKU-104"/>
    <n v="1"/>
    <s v="HEMAT10"/>
    <x v="2"/>
    <x v="2"/>
    <n v="2100000"/>
    <n v="1200000"/>
    <n v="25000"/>
    <n v="0.1"/>
    <n v="2100000"/>
    <n v="210000"/>
    <n v="1890000"/>
    <n v="1225000"/>
    <n v="665000"/>
    <n v="0.35185185185185186"/>
  </r>
  <r>
    <s v="TRX-0134"/>
    <x v="132"/>
    <x v="1"/>
    <s v="SKU-103"/>
    <n v="3"/>
    <s v="FLASHSALE"/>
    <x v="3"/>
    <x v="0"/>
    <n v="3400000"/>
    <n v="2100000"/>
    <n v="35000"/>
    <n v="0.3"/>
    <n v="10200000"/>
    <n v="3060000"/>
    <n v="7140000"/>
    <n v="6405000"/>
    <n v="735000"/>
    <n v="0.10294117647058823"/>
  </r>
  <r>
    <s v="TRX-0135"/>
    <x v="133"/>
    <x v="2"/>
    <s v="SKU-105"/>
    <n v="5"/>
    <s v="NONE"/>
    <x v="4"/>
    <x v="2"/>
    <n v="4200000"/>
    <n v="2400000"/>
    <n v="50000"/>
    <n v="0"/>
    <n v="21000000"/>
    <n v="0"/>
    <n v="21000000"/>
    <n v="12250000"/>
    <n v="8750000"/>
    <n v="0.41666666666666669"/>
  </r>
  <r>
    <s v="TRX-0136"/>
    <x v="13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137"/>
    <x v="135"/>
    <x v="0"/>
    <s v="SKU-102"/>
    <n v="3"/>
    <s v="HEMAT10"/>
    <x v="1"/>
    <x v="1"/>
    <n v="850000"/>
    <n v="450000"/>
    <n v="25000"/>
    <n v="0.1"/>
    <n v="2550000"/>
    <n v="255000"/>
    <n v="2295000"/>
    <n v="1425000"/>
    <n v="870000"/>
    <n v="0.37908496732026142"/>
  </r>
  <r>
    <s v="TRX-0138"/>
    <x v="136"/>
    <x v="1"/>
    <s v="SKU-105"/>
    <n v="4"/>
    <s v="FLASHSALE"/>
    <x v="4"/>
    <x v="2"/>
    <n v="4200000"/>
    <n v="2400000"/>
    <n v="35000"/>
    <n v="0.3"/>
    <n v="16800000"/>
    <n v="5040000"/>
    <n v="11760000"/>
    <n v="9740000"/>
    <n v="2020000"/>
    <n v="0.17176870748299319"/>
  </r>
  <r>
    <s v="TRX-0139"/>
    <x v="137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140"/>
    <x v="138"/>
    <x v="3"/>
    <s v="SKU-104"/>
    <n v="5"/>
    <s v="SUPER20"/>
    <x v="2"/>
    <x v="2"/>
    <n v="2100000"/>
    <n v="1200000"/>
    <n v="65000"/>
    <n v="0.2"/>
    <n v="10500000"/>
    <n v="2100000"/>
    <n v="8400000"/>
    <n v="6325000"/>
    <n v="2075000"/>
    <n v="0.24702380952380953"/>
  </r>
  <r>
    <s v="TRX-0141"/>
    <x v="139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142"/>
    <x v="140"/>
    <x v="1"/>
    <s v="SKU-102"/>
    <n v="8"/>
    <s v="FLASHSALE"/>
    <x v="1"/>
    <x v="1"/>
    <n v="850000"/>
    <n v="450000"/>
    <n v="35000"/>
    <n v="0.3"/>
    <n v="6800000"/>
    <n v="2040000"/>
    <n v="4760000"/>
    <n v="3880000"/>
    <n v="880000"/>
    <n v="0.18487394957983194"/>
  </r>
  <r>
    <s v="TRX-0143"/>
    <x v="141"/>
    <x v="2"/>
    <s v="SKU-104"/>
    <n v="1"/>
    <s v="NONE"/>
    <x v="2"/>
    <x v="2"/>
    <n v="2100000"/>
    <n v="1200000"/>
    <n v="50000"/>
    <n v="0"/>
    <n v="2100000"/>
    <n v="0"/>
    <n v="2100000"/>
    <n v="1250000"/>
    <n v="850000"/>
    <n v="0.40476190476190477"/>
  </r>
  <r>
    <s v="TRX-0144"/>
    <x v="142"/>
    <x v="3"/>
    <s v="SKU-103"/>
    <n v="4"/>
    <s v="SUPER20"/>
    <x v="3"/>
    <x v="0"/>
    <n v="3400000"/>
    <n v="2100000"/>
    <n v="65000"/>
    <n v="0.2"/>
    <n v="13600000"/>
    <n v="2720000"/>
    <n v="10880000"/>
    <n v="8660000"/>
    <n v="2220000"/>
    <n v="0.20404411764705882"/>
  </r>
  <r>
    <s v="TRX-0145"/>
    <x v="143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146"/>
    <x v="144"/>
    <x v="1"/>
    <s v="SKU-101"/>
    <n v="3"/>
    <s v="NONE"/>
    <x v="0"/>
    <x v="0"/>
    <n v="12000000"/>
    <n v="8500000"/>
    <n v="35000"/>
    <n v="0"/>
    <n v="36000000"/>
    <n v="0"/>
    <n v="36000000"/>
    <n v="25605000"/>
    <n v="10395000"/>
    <n v="0.28875000000000001"/>
  </r>
  <r>
    <s v="TRX-0147"/>
    <x v="145"/>
    <x v="2"/>
    <s v="SKU-102"/>
    <n v="5"/>
    <s v="FLASHSALE"/>
    <x v="1"/>
    <x v="1"/>
    <n v="850000"/>
    <n v="450000"/>
    <n v="50000"/>
    <n v="0.3"/>
    <n v="4250000"/>
    <n v="1275000"/>
    <n v="2975000"/>
    <n v="2500000"/>
    <n v="475000"/>
    <n v="0.15966386554621848"/>
  </r>
  <r>
    <s v="TRX-0148"/>
    <x v="146"/>
    <x v="3"/>
    <s v="SKU-105"/>
    <n v="1"/>
    <s v="SUPER20"/>
    <x v="4"/>
    <x v="2"/>
    <n v="4200000"/>
    <n v="2400000"/>
    <n v="65000"/>
    <n v="0.2"/>
    <n v="4200000"/>
    <n v="840000"/>
    <n v="3360000"/>
    <n v="2465000"/>
    <n v="895000"/>
    <n v="0.26636904761904762"/>
  </r>
  <r>
    <s v="TRX-0149"/>
    <x v="147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150"/>
    <x v="148"/>
    <x v="1"/>
    <s v="SKU-104"/>
    <n v="4"/>
    <s v="FLASHSALE"/>
    <x v="2"/>
    <x v="2"/>
    <n v="2100000"/>
    <n v="1200000"/>
    <n v="35000"/>
    <n v="0.3"/>
    <n v="8400000"/>
    <n v="2520000"/>
    <n v="5880000"/>
    <n v="4940000"/>
    <n v="940000"/>
    <n v="0.1598639455782313"/>
  </r>
  <r>
    <s v="TRX-0151"/>
    <x v="149"/>
    <x v="2"/>
    <s v="SKU-101"/>
    <n v="1"/>
    <s v="NONE"/>
    <x v="0"/>
    <x v="0"/>
    <n v="12000000"/>
    <n v="8500000"/>
    <n v="50000"/>
    <n v="0"/>
    <n v="12000000"/>
    <n v="0"/>
    <n v="12000000"/>
    <n v="8550000"/>
    <n v="3450000"/>
    <n v="0.28749999999999998"/>
  </r>
  <r>
    <s v="TRX-0152"/>
    <x v="150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153"/>
    <x v="151"/>
    <x v="0"/>
    <s v="SKU-104"/>
    <n v="2"/>
    <s v="HEMAT10"/>
    <x v="2"/>
    <x v="2"/>
    <n v="2100000"/>
    <n v="1200000"/>
    <n v="25000"/>
    <n v="0.1"/>
    <n v="4200000"/>
    <n v="420000"/>
    <n v="3780000"/>
    <n v="2450000"/>
    <n v="1330000"/>
    <n v="0.35185185185185186"/>
  </r>
  <r>
    <s v="TRX-0154"/>
    <x v="152"/>
    <x v="1"/>
    <s v="SKU-103"/>
    <n v="6"/>
    <s v="FLASHSALE"/>
    <x v="3"/>
    <x v="0"/>
    <n v="3400000"/>
    <n v="2100000"/>
    <n v="35000"/>
    <n v="0.3"/>
    <n v="20400000"/>
    <n v="6120000"/>
    <n v="14280000"/>
    <n v="12810000"/>
    <n v="1470000"/>
    <n v="0.10294117647058823"/>
  </r>
  <r>
    <s v="TRX-0155"/>
    <x v="153"/>
    <x v="2"/>
    <s v="SKU-105"/>
    <n v="3"/>
    <s v="NONE"/>
    <x v="4"/>
    <x v="2"/>
    <n v="4200000"/>
    <n v="2400000"/>
    <n v="50000"/>
    <n v="0"/>
    <n v="12600000"/>
    <n v="0"/>
    <n v="12600000"/>
    <n v="7350000"/>
    <n v="5250000"/>
    <n v="0.41666666666666669"/>
  </r>
  <r>
    <s v="TRX-0156"/>
    <x v="154"/>
    <x v="3"/>
    <s v="SKU-101"/>
    <n v="1"/>
    <s v="SUPER20"/>
    <x v="0"/>
    <x v="0"/>
    <n v="12000000"/>
    <n v="8500000"/>
    <n v="65000"/>
    <n v="0.2"/>
    <n v="12000000"/>
    <n v="2400000"/>
    <n v="9600000"/>
    <n v="8565000"/>
    <n v="1035000"/>
    <n v="0.10781250000000001"/>
  </r>
  <r>
    <s v="TRX-0157"/>
    <x v="155"/>
    <x v="0"/>
    <s v="SKU-102"/>
    <n v="4"/>
    <s v="HEMAT10"/>
    <x v="1"/>
    <x v="1"/>
    <n v="850000"/>
    <n v="450000"/>
    <n v="25000"/>
    <n v="0.1"/>
    <n v="3400000"/>
    <n v="340000"/>
    <n v="3060000"/>
    <n v="1900000"/>
    <n v="1160000"/>
    <n v="0.37908496732026142"/>
  </r>
  <r>
    <s v="TRX-0158"/>
    <x v="156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159"/>
    <x v="157"/>
    <x v="2"/>
    <s v="SKU-103"/>
    <n v="5"/>
    <s v="NONE"/>
    <x v="3"/>
    <x v="0"/>
    <n v="3400000"/>
    <n v="2100000"/>
    <n v="50000"/>
    <n v="0"/>
    <n v="17000000"/>
    <n v="0"/>
    <n v="17000000"/>
    <n v="10750000"/>
    <n v="6250000"/>
    <n v="0.36764705882352944"/>
  </r>
  <r>
    <s v="TRX-0160"/>
    <x v="158"/>
    <x v="3"/>
    <s v="SKU-104"/>
    <n v="3"/>
    <s v="SUPER20"/>
    <x v="2"/>
    <x v="2"/>
    <n v="2100000"/>
    <n v="1200000"/>
    <n v="65000"/>
    <n v="0.2"/>
    <n v="6300000"/>
    <n v="1260000"/>
    <n v="5040000"/>
    <n v="3795000"/>
    <n v="1245000"/>
    <n v="0.24702380952380953"/>
  </r>
  <r>
    <s v="TRX-0161"/>
    <x v="159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162"/>
    <x v="160"/>
    <x v="1"/>
    <s v="SKU-102"/>
    <n v="6"/>
    <s v="FLASHSALE"/>
    <x v="1"/>
    <x v="1"/>
    <n v="850000"/>
    <n v="450000"/>
    <n v="35000"/>
    <n v="0.3"/>
    <n v="5100000"/>
    <n v="1530000"/>
    <n v="3570000"/>
    <n v="2910000"/>
    <n v="660000"/>
    <n v="0.18487394957983194"/>
  </r>
  <r>
    <s v="TRX-0163"/>
    <x v="161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164"/>
    <x v="162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165"/>
    <x v="163"/>
    <x v="0"/>
    <s v="SKU-105"/>
    <n v="1"/>
    <s v="HEMAT10"/>
    <x v="4"/>
    <x v="2"/>
    <n v="4200000"/>
    <n v="2400000"/>
    <n v="25000"/>
    <n v="0.1"/>
    <n v="4200000"/>
    <n v="420000"/>
    <n v="3780000"/>
    <n v="2425000"/>
    <n v="1355000"/>
    <n v="0.35846560846560849"/>
  </r>
  <r>
    <s v="TRX-0166"/>
    <x v="164"/>
    <x v="1"/>
    <s v="SKU-101"/>
    <n v="4"/>
    <s v="NONE"/>
    <x v="0"/>
    <x v="0"/>
    <n v="12000000"/>
    <n v="8500000"/>
    <n v="35000"/>
    <n v="0"/>
    <n v="48000000"/>
    <n v="0"/>
    <n v="48000000"/>
    <n v="34140000"/>
    <n v="13860000"/>
    <n v="0.28875000000000001"/>
  </r>
  <r>
    <s v="TRX-0167"/>
    <x v="165"/>
    <x v="2"/>
    <s v="SKU-102"/>
    <n v="7"/>
    <s v="FLASHSALE"/>
    <x v="1"/>
    <x v="1"/>
    <n v="850000"/>
    <n v="450000"/>
    <n v="50000"/>
    <n v="0.3"/>
    <n v="5950000"/>
    <n v="1785000"/>
    <n v="4165000"/>
    <n v="3500000"/>
    <n v="665000"/>
    <n v="0.15966386554621848"/>
  </r>
  <r>
    <s v="TRX-0168"/>
    <x v="166"/>
    <x v="3"/>
    <s v="SKU-105"/>
    <n v="2"/>
    <s v="SUPER20"/>
    <x v="4"/>
    <x v="2"/>
    <n v="4200000"/>
    <n v="2400000"/>
    <n v="65000"/>
    <n v="0.2"/>
    <n v="8400000"/>
    <n v="1680000"/>
    <n v="6720000"/>
    <n v="4930000"/>
    <n v="1790000"/>
    <n v="0.26636904761904762"/>
  </r>
  <r>
    <s v="TRX-0169"/>
    <x v="167"/>
    <x v="0"/>
    <s v="SKU-103"/>
    <n v="1"/>
    <s v="HEMAT10"/>
    <x v="3"/>
    <x v="0"/>
    <n v="3400000"/>
    <n v="2100000"/>
    <n v="25000"/>
    <n v="0.1"/>
    <n v="3400000"/>
    <n v="340000"/>
    <n v="3060000"/>
    <n v="2125000"/>
    <n v="935000"/>
    <n v="0.30555555555555558"/>
  </r>
  <r>
    <s v="TRX-0170"/>
    <x v="168"/>
    <x v="1"/>
    <s v="SKU-104"/>
    <n v="3"/>
    <s v="FLASHSALE"/>
    <x v="2"/>
    <x v="2"/>
    <n v="2100000"/>
    <n v="1200000"/>
    <n v="35000"/>
    <n v="0.3"/>
    <n v="6300000"/>
    <n v="1890000"/>
    <n v="4410000"/>
    <n v="3705000"/>
    <n v="705000"/>
    <n v="0.1598639455782313"/>
  </r>
  <r>
    <s v="TRX-0171"/>
    <x v="16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172"/>
    <x v="170"/>
    <x v="3"/>
    <s v="SKU-102"/>
    <n v="8"/>
    <s v="SUPER20"/>
    <x v="1"/>
    <x v="1"/>
    <n v="850000"/>
    <n v="450000"/>
    <n v="65000"/>
    <n v="0.2"/>
    <n v="6800000"/>
    <n v="1360000"/>
    <n v="5440000"/>
    <n v="4120000"/>
    <n v="1320000"/>
    <n v="0.24264705882352941"/>
  </r>
  <r>
    <s v="TRX-0173"/>
    <x v="171"/>
    <x v="0"/>
    <s v="SKU-104"/>
    <n v="5"/>
    <s v="HEMAT10"/>
    <x v="2"/>
    <x v="2"/>
    <n v="2100000"/>
    <n v="1200000"/>
    <n v="25000"/>
    <n v="0.1"/>
    <n v="10500000"/>
    <n v="1050000"/>
    <n v="9450000"/>
    <n v="6125000"/>
    <n v="3325000"/>
    <n v="0.35185185185185186"/>
  </r>
  <r>
    <s v="TRX-0174"/>
    <x v="172"/>
    <x v="1"/>
    <s v="SKU-103"/>
    <n v="2"/>
    <s v="FLASHSALE"/>
    <x v="3"/>
    <x v="0"/>
    <n v="3400000"/>
    <n v="2100000"/>
    <n v="35000"/>
    <n v="0.3"/>
    <n v="6800000"/>
    <n v="2040000"/>
    <n v="4760000"/>
    <n v="4270000"/>
    <n v="490000"/>
    <n v="0.10294117647058823"/>
  </r>
  <r>
    <s v="TRX-0175"/>
    <x v="173"/>
    <x v="2"/>
    <s v="SKU-105"/>
    <n v="4"/>
    <s v="NONE"/>
    <x v="4"/>
    <x v="2"/>
    <n v="4200000"/>
    <n v="2400000"/>
    <n v="50000"/>
    <n v="0"/>
    <n v="16800000"/>
    <n v="0"/>
    <n v="16800000"/>
    <n v="9800000"/>
    <n v="7000000"/>
    <n v="0.41666666666666669"/>
  </r>
  <r>
    <s v="TRX-0176"/>
    <x v="17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177"/>
    <x v="175"/>
    <x v="0"/>
    <s v="SKU-102"/>
    <n v="3"/>
    <s v="HEMAT10"/>
    <x v="1"/>
    <x v="1"/>
    <n v="850000"/>
    <n v="450000"/>
    <n v="25000"/>
    <n v="0.1"/>
    <n v="2550000"/>
    <n v="255000"/>
    <n v="2295000"/>
    <n v="1425000"/>
    <n v="870000"/>
    <n v="0.37908496732026142"/>
  </r>
  <r>
    <s v="TRX-0178"/>
    <x v="176"/>
    <x v="1"/>
    <s v="SKU-105"/>
    <n v="5"/>
    <s v="FLASHSALE"/>
    <x v="4"/>
    <x v="2"/>
    <n v="4200000"/>
    <n v="2400000"/>
    <n v="35000"/>
    <n v="0.3"/>
    <n v="21000000"/>
    <n v="6300000"/>
    <n v="14700000"/>
    <n v="12175000"/>
    <n v="2525000"/>
    <n v="0.17176870748299319"/>
  </r>
  <r>
    <s v="TRX-0179"/>
    <x v="177"/>
    <x v="2"/>
    <s v="SKU-103"/>
    <n v="1"/>
    <s v="NONE"/>
    <x v="3"/>
    <x v="0"/>
    <n v="3400000"/>
    <n v="2100000"/>
    <n v="50000"/>
    <n v="0"/>
    <n v="3400000"/>
    <n v="0"/>
    <n v="3400000"/>
    <n v="2150000"/>
    <n v="1250000"/>
    <n v="0.36764705882352944"/>
  </r>
  <r>
    <s v="TRX-0180"/>
    <x v="178"/>
    <x v="3"/>
    <s v="SKU-104"/>
    <n v="4"/>
    <s v="SUPER20"/>
    <x v="2"/>
    <x v="2"/>
    <n v="2100000"/>
    <n v="1200000"/>
    <n v="65000"/>
    <n v="0.2"/>
    <n v="8400000"/>
    <n v="1680000"/>
    <n v="6720000"/>
    <n v="5060000"/>
    <n v="1660000"/>
    <n v="0.24702380952380953"/>
  </r>
  <r>
    <s v="TRX-0181"/>
    <x v="179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182"/>
    <x v="180"/>
    <x v="1"/>
    <s v="SKU-102"/>
    <n v="5"/>
    <s v="FLASHSALE"/>
    <x v="1"/>
    <x v="1"/>
    <n v="850000"/>
    <n v="450000"/>
    <n v="35000"/>
    <n v="0.3"/>
    <n v="4250000"/>
    <n v="1275000"/>
    <n v="2975000"/>
    <n v="2425000"/>
    <n v="550000"/>
    <n v="0.18487394957983194"/>
  </r>
  <r>
    <s v="TRX-0183"/>
    <x v="181"/>
    <x v="2"/>
    <s v="SKU-104"/>
    <n v="1"/>
    <s v="NONE"/>
    <x v="2"/>
    <x v="2"/>
    <n v="2100000"/>
    <n v="1200000"/>
    <n v="50000"/>
    <n v="0"/>
    <n v="2100000"/>
    <n v="0"/>
    <n v="2100000"/>
    <n v="1250000"/>
    <n v="850000"/>
    <n v="0.40476190476190477"/>
  </r>
  <r>
    <s v="TRX-0184"/>
    <x v="182"/>
    <x v="3"/>
    <s v="SKU-103"/>
    <n v="2"/>
    <s v="SUPER20"/>
    <x v="3"/>
    <x v="0"/>
    <n v="3400000"/>
    <n v="2100000"/>
    <n v="65000"/>
    <n v="0.2"/>
    <n v="6800000"/>
    <n v="1360000"/>
    <n v="5440000"/>
    <n v="4330000"/>
    <n v="1110000"/>
    <n v="0.20404411764705882"/>
  </r>
  <r>
    <s v="TRX-0185"/>
    <x v="183"/>
    <x v="0"/>
    <s v="SKU-105"/>
    <n v="3"/>
    <s v="HEMAT10"/>
    <x v="4"/>
    <x v="2"/>
    <n v="4200000"/>
    <n v="2400000"/>
    <n v="25000"/>
    <n v="0.1"/>
    <n v="12600000"/>
    <n v="1260000"/>
    <n v="11340000"/>
    <n v="7275000"/>
    <n v="4065000"/>
    <n v="0.35846560846560849"/>
  </r>
  <r>
    <s v="TRX-0186"/>
    <x v="184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187"/>
    <x v="185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188"/>
    <x v="186"/>
    <x v="3"/>
    <s v="SKU-105"/>
    <n v="4"/>
    <s v="SUPER20"/>
    <x v="4"/>
    <x v="2"/>
    <n v="4200000"/>
    <n v="2400000"/>
    <n v="65000"/>
    <n v="0.2"/>
    <n v="16800000"/>
    <n v="3360000"/>
    <n v="13440000"/>
    <n v="9860000"/>
    <n v="3580000"/>
    <n v="0.26636904761904762"/>
  </r>
  <r>
    <s v="TRX-0189"/>
    <x v="187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190"/>
    <x v="188"/>
    <x v="1"/>
    <s v="SKU-104"/>
    <n v="3"/>
    <s v="FLASHSALE"/>
    <x v="2"/>
    <x v="2"/>
    <n v="2100000"/>
    <n v="1200000"/>
    <n v="35000"/>
    <n v="0.3"/>
    <n v="6300000"/>
    <n v="1890000"/>
    <n v="4410000"/>
    <n v="3705000"/>
    <n v="705000"/>
    <n v="0.1598639455782313"/>
  </r>
  <r>
    <s v="TRX-0191"/>
    <x v="18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192"/>
    <x v="190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193"/>
    <x v="191"/>
    <x v="0"/>
    <s v="SKU-104"/>
    <n v="4"/>
    <s v="HEMAT10"/>
    <x v="2"/>
    <x v="2"/>
    <n v="2100000"/>
    <n v="1200000"/>
    <n v="25000"/>
    <n v="0.1"/>
    <n v="8400000"/>
    <n v="840000"/>
    <n v="7560000"/>
    <n v="4900000"/>
    <n v="2660000"/>
    <n v="0.35185185185185186"/>
  </r>
  <r>
    <s v="TRX-0194"/>
    <x v="192"/>
    <x v="1"/>
    <s v="SKU-103"/>
    <n v="1"/>
    <s v="FLASHSALE"/>
    <x v="3"/>
    <x v="0"/>
    <n v="3400000"/>
    <n v="2100000"/>
    <n v="35000"/>
    <n v="0.3"/>
    <n v="3400000"/>
    <n v="1020000"/>
    <n v="2380000"/>
    <n v="2135000"/>
    <n v="245000"/>
    <n v="0.10294117647058823"/>
  </r>
  <r>
    <s v="TRX-0195"/>
    <x v="193"/>
    <x v="2"/>
    <s v="SKU-105"/>
    <n v="2"/>
    <s v="NONE"/>
    <x v="4"/>
    <x v="2"/>
    <n v="4200000"/>
    <n v="2400000"/>
    <n v="50000"/>
    <n v="0"/>
    <n v="8400000"/>
    <n v="0"/>
    <n v="8400000"/>
    <n v="4900000"/>
    <n v="3500000"/>
    <n v="0.41666666666666669"/>
  </r>
  <r>
    <s v="TRX-0196"/>
    <x v="194"/>
    <x v="3"/>
    <s v="SKU-101"/>
    <n v="3"/>
    <s v="SUPER20"/>
    <x v="0"/>
    <x v="0"/>
    <n v="12000000"/>
    <n v="8500000"/>
    <n v="65000"/>
    <n v="0.2"/>
    <n v="36000000"/>
    <n v="7200000"/>
    <n v="28800000"/>
    <n v="25695000"/>
    <n v="3105000"/>
    <n v="0.10781250000000001"/>
  </r>
  <r>
    <s v="TRX-0197"/>
    <x v="195"/>
    <x v="0"/>
    <s v="SKU-102"/>
    <n v="5"/>
    <s v="HEMAT10"/>
    <x v="1"/>
    <x v="1"/>
    <n v="850000"/>
    <n v="450000"/>
    <n v="25000"/>
    <n v="0.1"/>
    <n v="4250000"/>
    <n v="425000"/>
    <n v="3825000"/>
    <n v="2375000"/>
    <n v="1450000"/>
    <n v="0.37908496732026142"/>
  </r>
  <r>
    <s v="TRX-0198"/>
    <x v="196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199"/>
    <x v="197"/>
    <x v="2"/>
    <s v="SKU-103"/>
    <n v="4"/>
    <s v="NONE"/>
    <x v="3"/>
    <x v="0"/>
    <n v="3400000"/>
    <n v="2100000"/>
    <n v="50000"/>
    <n v="0"/>
    <n v="13600000"/>
    <n v="0"/>
    <n v="13600000"/>
    <n v="8600000"/>
    <n v="5000000"/>
    <n v="0.36764705882352944"/>
  </r>
  <r>
    <s v="TRX-0200"/>
    <x v="198"/>
    <x v="3"/>
    <s v="SKU-104"/>
    <n v="1"/>
    <s v="SUPER20"/>
    <x v="2"/>
    <x v="2"/>
    <n v="2100000"/>
    <n v="1200000"/>
    <n v="65000"/>
    <n v="0.2"/>
    <n v="2100000"/>
    <n v="420000"/>
    <n v="1680000"/>
    <n v="1265000"/>
    <n v="415000"/>
    <n v="0.24702380952380953"/>
  </r>
  <r>
    <s v="TRX-0201"/>
    <x v="199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202"/>
    <x v="200"/>
    <x v="1"/>
    <s v="SKU-102"/>
    <n v="8"/>
    <s v="FLASHSALE"/>
    <x v="1"/>
    <x v="1"/>
    <n v="850000"/>
    <n v="450000"/>
    <n v="35000"/>
    <n v="0.3"/>
    <n v="6800000"/>
    <n v="2040000"/>
    <n v="4760000"/>
    <n v="3880000"/>
    <n v="880000"/>
    <n v="0.18487394957983194"/>
  </r>
  <r>
    <s v="TRX-0203"/>
    <x v="201"/>
    <x v="2"/>
    <s v="SKU-104"/>
    <n v="3"/>
    <s v="NONE"/>
    <x v="2"/>
    <x v="2"/>
    <n v="2100000"/>
    <n v="1200000"/>
    <n v="50000"/>
    <n v="0"/>
    <n v="6300000"/>
    <n v="0"/>
    <n v="6300000"/>
    <n v="3750000"/>
    <n v="2550000"/>
    <n v="0.40476190476190477"/>
  </r>
  <r>
    <s v="TRX-0204"/>
    <x v="202"/>
    <x v="3"/>
    <s v="SKU-103"/>
    <n v="5"/>
    <s v="SUPER20"/>
    <x v="3"/>
    <x v="0"/>
    <n v="3400000"/>
    <n v="2100000"/>
    <n v="65000"/>
    <n v="0.2"/>
    <n v="17000000"/>
    <n v="3400000"/>
    <n v="13600000"/>
    <n v="10825000"/>
    <n v="2775000"/>
    <n v="0.20404411764705882"/>
  </r>
  <r>
    <s v="TRX-0205"/>
    <x v="203"/>
    <x v="0"/>
    <s v="SKU-105"/>
    <n v="1"/>
    <s v="HEMAT10"/>
    <x v="4"/>
    <x v="2"/>
    <n v="4200000"/>
    <n v="2400000"/>
    <n v="25000"/>
    <n v="0.1"/>
    <n v="4200000"/>
    <n v="420000"/>
    <n v="3780000"/>
    <n v="2425000"/>
    <n v="1355000"/>
    <n v="0.35846560846560849"/>
  </r>
  <r>
    <s v="TRX-0206"/>
    <x v="204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207"/>
    <x v="205"/>
    <x v="2"/>
    <s v="SKU-102"/>
    <n v="4"/>
    <s v="FLASHSALE"/>
    <x v="1"/>
    <x v="1"/>
    <n v="850000"/>
    <n v="450000"/>
    <n v="50000"/>
    <n v="0.3"/>
    <n v="3400000"/>
    <n v="1020000"/>
    <n v="2380000"/>
    <n v="2000000"/>
    <n v="380000"/>
    <n v="0.15966386554621848"/>
  </r>
  <r>
    <s v="TRX-0208"/>
    <x v="206"/>
    <x v="3"/>
    <s v="SKU-105"/>
    <n v="3"/>
    <s v="SUPER20"/>
    <x v="4"/>
    <x v="2"/>
    <n v="4200000"/>
    <n v="2400000"/>
    <n v="65000"/>
    <n v="0.2"/>
    <n v="12600000"/>
    <n v="2520000"/>
    <n v="10080000"/>
    <n v="7395000"/>
    <n v="2685000"/>
    <n v="0.26636904761904762"/>
  </r>
  <r>
    <s v="TRX-0209"/>
    <x v="207"/>
    <x v="0"/>
    <s v="SKU-103"/>
    <n v="3"/>
    <s v="HEMAT10"/>
    <x v="3"/>
    <x v="0"/>
    <n v="3400000"/>
    <n v="2100000"/>
    <n v="25000"/>
    <n v="0.1"/>
    <n v="10200000"/>
    <n v="1020000"/>
    <n v="9180000"/>
    <n v="6375000"/>
    <n v="2805000"/>
    <n v="0.30555555555555558"/>
  </r>
  <r>
    <s v="TRX-0210"/>
    <x v="208"/>
    <x v="1"/>
    <s v="SKU-104"/>
    <n v="2"/>
    <s v="FLASHSALE"/>
    <x v="2"/>
    <x v="2"/>
    <n v="2100000"/>
    <n v="1200000"/>
    <n v="35000"/>
    <n v="0.3"/>
    <n v="4200000"/>
    <n v="1260000"/>
    <n v="2940000"/>
    <n v="2470000"/>
    <n v="470000"/>
    <n v="0.1598639455782313"/>
  </r>
  <r>
    <s v="TRX-0211"/>
    <x v="209"/>
    <x v="2"/>
    <s v="SKU-101"/>
    <n v="4"/>
    <s v="NONE"/>
    <x v="0"/>
    <x v="0"/>
    <n v="12000000"/>
    <n v="8500000"/>
    <n v="50000"/>
    <n v="0"/>
    <n v="48000000"/>
    <n v="0"/>
    <n v="48000000"/>
    <n v="34200000"/>
    <n v="13800000"/>
    <n v="0.28749999999999998"/>
  </r>
  <r>
    <s v="TRX-0212"/>
    <x v="210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213"/>
    <x v="211"/>
    <x v="0"/>
    <s v="SKU-104"/>
    <n v="1"/>
    <s v="HEMAT10"/>
    <x v="2"/>
    <x v="2"/>
    <n v="2100000"/>
    <n v="1200000"/>
    <n v="25000"/>
    <n v="0.1"/>
    <n v="2100000"/>
    <n v="210000"/>
    <n v="1890000"/>
    <n v="1225000"/>
    <n v="665000"/>
    <n v="0.35185185185185186"/>
  </r>
  <r>
    <s v="TRX-0214"/>
    <x v="212"/>
    <x v="1"/>
    <s v="SKU-103"/>
    <n v="4"/>
    <s v="FLASHSALE"/>
    <x v="3"/>
    <x v="0"/>
    <n v="3400000"/>
    <n v="2100000"/>
    <n v="35000"/>
    <n v="0.3"/>
    <n v="13600000"/>
    <n v="4080000"/>
    <n v="9520000"/>
    <n v="8540000"/>
    <n v="980000"/>
    <n v="0.10294117647058823"/>
  </r>
  <r>
    <s v="TRX-0215"/>
    <x v="213"/>
    <x v="2"/>
    <s v="SKU-105"/>
    <n v="2"/>
    <s v="NONE"/>
    <x v="4"/>
    <x v="2"/>
    <n v="4200000"/>
    <n v="2400000"/>
    <n v="50000"/>
    <n v="0"/>
    <n v="8400000"/>
    <n v="0"/>
    <n v="8400000"/>
    <n v="4900000"/>
    <n v="3500000"/>
    <n v="0.41666666666666669"/>
  </r>
  <r>
    <s v="TRX-0216"/>
    <x v="214"/>
    <x v="3"/>
    <s v="SKU-101"/>
    <n v="1"/>
    <s v="SUPER20"/>
    <x v="0"/>
    <x v="0"/>
    <n v="12000000"/>
    <n v="8500000"/>
    <n v="65000"/>
    <n v="0.2"/>
    <n v="12000000"/>
    <n v="2400000"/>
    <n v="9600000"/>
    <n v="8565000"/>
    <n v="1035000"/>
    <n v="0.10781250000000001"/>
  </r>
  <r>
    <s v="TRX-0217"/>
    <x v="215"/>
    <x v="0"/>
    <s v="SKU-102"/>
    <n v="5"/>
    <s v="HEMAT10"/>
    <x v="1"/>
    <x v="1"/>
    <n v="850000"/>
    <n v="450000"/>
    <n v="25000"/>
    <n v="0.1"/>
    <n v="4250000"/>
    <n v="425000"/>
    <n v="3825000"/>
    <n v="2375000"/>
    <n v="1450000"/>
    <n v="0.37908496732026142"/>
  </r>
  <r>
    <s v="TRX-0218"/>
    <x v="216"/>
    <x v="1"/>
    <s v="SKU-105"/>
    <n v="3"/>
    <s v="FLASHSALE"/>
    <x v="4"/>
    <x v="2"/>
    <n v="4200000"/>
    <n v="2400000"/>
    <n v="35000"/>
    <n v="0.3"/>
    <n v="12600000"/>
    <n v="3780000"/>
    <n v="8820000"/>
    <n v="7305000"/>
    <n v="1515000"/>
    <n v="0.17176870748299319"/>
  </r>
  <r>
    <s v="TRX-0219"/>
    <x v="217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220"/>
    <x v="218"/>
    <x v="3"/>
    <s v="SKU-104"/>
    <n v="4"/>
    <s v="SUPER20"/>
    <x v="2"/>
    <x v="2"/>
    <n v="2100000"/>
    <n v="1200000"/>
    <n v="65000"/>
    <n v="0.2"/>
    <n v="8400000"/>
    <n v="1680000"/>
    <n v="6720000"/>
    <n v="5060000"/>
    <n v="1660000"/>
    <n v="0.24702380952380953"/>
  </r>
  <r>
    <s v="TRX-0221"/>
    <x v="219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222"/>
    <x v="220"/>
    <x v="1"/>
    <s v="SKU-102"/>
    <n v="7"/>
    <s v="FLASHSALE"/>
    <x v="1"/>
    <x v="1"/>
    <n v="850000"/>
    <n v="450000"/>
    <n v="35000"/>
    <n v="0.3"/>
    <n v="5950000"/>
    <n v="1785000"/>
    <n v="4165000"/>
    <n v="3395000"/>
    <n v="770000"/>
    <n v="0.18487394957983194"/>
  </r>
  <r>
    <s v="TRX-0223"/>
    <x v="221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224"/>
    <x v="222"/>
    <x v="3"/>
    <s v="SKU-103"/>
    <n v="1"/>
    <s v="SUPER20"/>
    <x v="3"/>
    <x v="0"/>
    <n v="3400000"/>
    <n v="2100000"/>
    <n v="65000"/>
    <n v="0.2"/>
    <n v="3400000"/>
    <n v="680000"/>
    <n v="2720000"/>
    <n v="2165000"/>
    <n v="555000"/>
    <n v="0.20404411764705882"/>
  </r>
  <r>
    <s v="TRX-0225"/>
    <x v="223"/>
    <x v="0"/>
    <s v="SKU-105"/>
    <n v="4"/>
    <s v="HEMAT10"/>
    <x v="4"/>
    <x v="2"/>
    <n v="4200000"/>
    <n v="2400000"/>
    <n v="25000"/>
    <n v="0.1"/>
    <n v="16800000"/>
    <n v="1680000"/>
    <n v="15120000"/>
    <n v="9700000"/>
    <n v="5420000"/>
    <n v="0.35846560846560849"/>
  </r>
  <r>
    <s v="TRX-0226"/>
    <x v="224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227"/>
    <x v="225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228"/>
    <x v="226"/>
    <x v="3"/>
    <s v="SKU-105"/>
    <n v="1"/>
    <s v="SUPER20"/>
    <x v="4"/>
    <x v="2"/>
    <n v="4200000"/>
    <n v="2400000"/>
    <n v="65000"/>
    <n v="0.2"/>
    <n v="4200000"/>
    <n v="840000"/>
    <n v="3360000"/>
    <n v="2465000"/>
    <n v="895000"/>
    <n v="0.26636904761904762"/>
  </r>
  <r>
    <s v="TRX-0229"/>
    <x v="227"/>
    <x v="0"/>
    <s v="SKU-103"/>
    <n v="5"/>
    <s v="HEMAT10"/>
    <x v="3"/>
    <x v="0"/>
    <n v="3400000"/>
    <n v="2100000"/>
    <n v="25000"/>
    <n v="0.1"/>
    <n v="17000000"/>
    <n v="1700000"/>
    <n v="15300000"/>
    <n v="10625000"/>
    <n v="4675000"/>
    <n v="0.30555555555555558"/>
  </r>
  <r>
    <s v="TRX-0230"/>
    <x v="228"/>
    <x v="1"/>
    <s v="SKU-104"/>
    <n v="3"/>
    <s v="FLASHSALE"/>
    <x v="2"/>
    <x v="2"/>
    <n v="2100000"/>
    <n v="1200000"/>
    <n v="35000"/>
    <n v="0.3"/>
    <n v="6300000"/>
    <n v="1890000"/>
    <n v="4410000"/>
    <n v="3705000"/>
    <n v="705000"/>
    <n v="0.1598639455782313"/>
  </r>
  <r>
    <s v="TRX-0231"/>
    <x v="229"/>
    <x v="2"/>
    <s v="SKU-101"/>
    <n v="1"/>
    <s v="NONE"/>
    <x v="0"/>
    <x v="0"/>
    <n v="12000000"/>
    <n v="8500000"/>
    <n v="50000"/>
    <n v="0"/>
    <n v="12000000"/>
    <n v="0"/>
    <n v="12000000"/>
    <n v="8550000"/>
    <n v="3450000"/>
    <n v="0.28749999999999998"/>
  </r>
  <r>
    <s v="TRX-0232"/>
    <x v="230"/>
    <x v="3"/>
    <s v="SKU-102"/>
    <n v="8"/>
    <s v="SUPER20"/>
    <x v="1"/>
    <x v="1"/>
    <n v="850000"/>
    <n v="450000"/>
    <n v="65000"/>
    <n v="0.2"/>
    <n v="6800000"/>
    <n v="1360000"/>
    <n v="5440000"/>
    <n v="4120000"/>
    <n v="1320000"/>
    <n v="0.24264705882352941"/>
  </r>
  <r>
    <s v="TRX-0233"/>
    <x v="231"/>
    <x v="0"/>
    <s v="SKU-104"/>
    <n v="2"/>
    <s v="HEMAT10"/>
    <x v="2"/>
    <x v="2"/>
    <n v="2100000"/>
    <n v="1200000"/>
    <n v="25000"/>
    <n v="0.1"/>
    <n v="4200000"/>
    <n v="420000"/>
    <n v="3780000"/>
    <n v="2450000"/>
    <n v="1330000"/>
    <n v="0.35185185185185186"/>
  </r>
  <r>
    <s v="TRX-0234"/>
    <x v="232"/>
    <x v="1"/>
    <s v="SKU-103"/>
    <n v="3"/>
    <s v="FLASHSALE"/>
    <x v="3"/>
    <x v="0"/>
    <n v="3400000"/>
    <n v="2100000"/>
    <n v="35000"/>
    <n v="0.3"/>
    <n v="10200000"/>
    <n v="3060000"/>
    <n v="7140000"/>
    <n v="6405000"/>
    <n v="735000"/>
    <n v="0.10294117647058823"/>
  </r>
  <r>
    <s v="TRX-0235"/>
    <x v="233"/>
    <x v="2"/>
    <s v="SKU-105"/>
    <n v="4"/>
    <s v="NONE"/>
    <x v="4"/>
    <x v="2"/>
    <n v="4200000"/>
    <n v="2400000"/>
    <n v="50000"/>
    <n v="0"/>
    <n v="16800000"/>
    <n v="0"/>
    <n v="16800000"/>
    <n v="9800000"/>
    <n v="7000000"/>
    <n v="0.41666666666666669"/>
  </r>
  <r>
    <s v="TRX-0236"/>
    <x v="23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237"/>
    <x v="235"/>
    <x v="0"/>
    <s v="SKU-102"/>
    <n v="3"/>
    <s v="HEMAT10"/>
    <x v="1"/>
    <x v="1"/>
    <n v="850000"/>
    <n v="450000"/>
    <n v="25000"/>
    <n v="0.1"/>
    <n v="2550000"/>
    <n v="255000"/>
    <n v="2295000"/>
    <n v="1425000"/>
    <n v="870000"/>
    <n v="0.37908496732026142"/>
  </r>
  <r>
    <s v="TRX-0238"/>
    <x v="236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239"/>
    <x v="237"/>
    <x v="2"/>
    <s v="SKU-103"/>
    <n v="6"/>
    <s v="NONE"/>
    <x v="3"/>
    <x v="0"/>
    <n v="3400000"/>
    <n v="2100000"/>
    <n v="50000"/>
    <n v="0"/>
    <n v="20400000"/>
    <n v="0"/>
    <n v="20400000"/>
    <n v="12900000"/>
    <n v="7500000"/>
    <n v="0.36764705882352944"/>
  </r>
  <r>
    <s v="TRX-0240"/>
    <x v="238"/>
    <x v="3"/>
    <s v="SKU-104"/>
    <n v="1"/>
    <s v="SUPER20"/>
    <x v="2"/>
    <x v="2"/>
    <n v="2100000"/>
    <n v="1200000"/>
    <n v="65000"/>
    <n v="0.2"/>
    <n v="2100000"/>
    <n v="420000"/>
    <n v="1680000"/>
    <n v="1265000"/>
    <n v="415000"/>
    <n v="0.24702380952380953"/>
  </r>
  <r>
    <s v="TRX-0241"/>
    <x v="239"/>
    <x v="0"/>
    <s v="SKU-101"/>
    <n v="4"/>
    <s v="HEMAT10"/>
    <x v="0"/>
    <x v="0"/>
    <n v="12000000"/>
    <n v="8500000"/>
    <n v="25000"/>
    <n v="0.1"/>
    <n v="48000000"/>
    <n v="4800000"/>
    <n v="43200000"/>
    <n v="34100000"/>
    <n v="9100000"/>
    <n v="0.21064814814814814"/>
  </r>
  <r>
    <s v="TRX-0242"/>
    <x v="240"/>
    <x v="1"/>
    <s v="SKU-102"/>
    <n v="5"/>
    <s v="FLASHSALE"/>
    <x v="1"/>
    <x v="1"/>
    <n v="850000"/>
    <n v="450000"/>
    <n v="35000"/>
    <n v="0.3"/>
    <n v="4250000"/>
    <n v="1275000"/>
    <n v="2975000"/>
    <n v="2425000"/>
    <n v="550000"/>
    <n v="0.18487394957983194"/>
  </r>
  <r>
    <s v="TRX-0243"/>
    <x v="241"/>
    <x v="2"/>
    <s v="SKU-104"/>
    <n v="3"/>
    <s v="NONE"/>
    <x v="2"/>
    <x v="2"/>
    <n v="2100000"/>
    <n v="1200000"/>
    <n v="50000"/>
    <n v="0"/>
    <n v="6300000"/>
    <n v="0"/>
    <n v="6300000"/>
    <n v="3750000"/>
    <n v="2550000"/>
    <n v="0.40476190476190477"/>
  </r>
  <r>
    <s v="TRX-0244"/>
    <x v="242"/>
    <x v="3"/>
    <s v="SKU-103"/>
    <n v="2"/>
    <s v="SUPER20"/>
    <x v="3"/>
    <x v="0"/>
    <n v="3400000"/>
    <n v="2100000"/>
    <n v="65000"/>
    <n v="0.2"/>
    <n v="6800000"/>
    <n v="1360000"/>
    <n v="5440000"/>
    <n v="4330000"/>
    <n v="1110000"/>
    <n v="0.20404411764705882"/>
  </r>
  <r>
    <s v="TRX-0245"/>
    <x v="243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246"/>
    <x v="244"/>
    <x v="1"/>
    <s v="SKU-101"/>
    <n v="3"/>
    <s v="NONE"/>
    <x v="0"/>
    <x v="0"/>
    <n v="12000000"/>
    <n v="8500000"/>
    <n v="35000"/>
    <n v="0"/>
    <n v="36000000"/>
    <n v="0"/>
    <n v="36000000"/>
    <n v="25605000"/>
    <n v="10395000"/>
    <n v="0.28875000000000001"/>
  </r>
  <r>
    <s v="TRX-0247"/>
    <x v="245"/>
    <x v="2"/>
    <s v="SKU-102"/>
    <n v="7"/>
    <s v="FLASHSALE"/>
    <x v="1"/>
    <x v="1"/>
    <n v="850000"/>
    <n v="450000"/>
    <n v="50000"/>
    <n v="0.3"/>
    <n v="5950000"/>
    <n v="1785000"/>
    <n v="4165000"/>
    <n v="3500000"/>
    <n v="665000"/>
    <n v="0.15966386554621848"/>
  </r>
  <r>
    <s v="TRX-0248"/>
    <x v="246"/>
    <x v="3"/>
    <s v="SKU-105"/>
    <n v="4"/>
    <s v="SUPER20"/>
    <x v="4"/>
    <x v="2"/>
    <n v="4200000"/>
    <n v="2400000"/>
    <n v="65000"/>
    <n v="0.2"/>
    <n v="16800000"/>
    <n v="3360000"/>
    <n v="13440000"/>
    <n v="9860000"/>
    <n v="3580000"/>
    <n v="0.26636904761904762"/>
  </r>
  <r>
    <s v="TRX-0249"/>
    <x v="247"/>
    <x v="0"/>
    <s v="SKU-103"/>
    <n v="1"/>
    <s v="HEMAT10"/>
    <x v="3"/>
    <x v="0"/>
    <n v="3400000"/>
    <n v="2100000"/>
    <n v="25000"/>
    <n v="0.1"/>
    <n v="3400000"/>
    <n v="340000"/>
    <n v="3060000"/>
    <n v="2125000"/>
    <n v="935000"/>
    <n v="0.30555555555555558"/>
  </r>
  <r>
    <s v="TRX-0250"/>
    <x v="248"/>
    <x v="1"/>
    <s v="SKU-104"/>
    <n v="2"/>
    <s v="FLASHSALE"/>
    <x v="2"/>
    <x v="2"/>
    <n v="2100000"/>
    <n v="1200000"/>
    <n v="35000"/>
    <n v="0.3"/>
    <n v="4200000"/>
    <n v="1260000"/>
    <n v="2940000"/>
    <n v="2470000"/>
    <n v="470000"/>
    <n v="0.1598639455782313"/>
  </r>
  <r>
    <s v="TRX-0251"/>
    <x v="249"/>
    <x v="2"/>
    <s v="SKU-101"/>
    <n v="3"/>
    <s v="NONE"/>
    <x v="0"/>
    <x v="0"/>
    <n v="12000000"/>
    <n v="8500000"/>
    <n v="50000"/>
    <n v="0"/>
    <n v="36000000"/>
    <n v="0"/>
    <n v="36000000"/>
    <n v="25650000"/>
    <n v="10350000"/>
    <n v="0.28749999999999998"/>
  </r>
  <r>
    <s v="TRX-0252"/>
    <x v="250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253"/>
    <x v="251"/>
    <x v="0"/>
    <s v="SKU-104"/>
    <n v="5"/>
    <s v="HEMAT10"/>
    <x v="2"/>
    <x v="2"/>
    <n v="2100000"/>
    <n v="1200000"/>
    <n v="25000"/>
    <n v="0.1"/>
    <n v="10500000"/>
    <n v="1050000"/>
    <n v="9450000"/>
    <n v="6125000"/>
    <n v="3325000"/>
    <n v="0.35185185185185186"/>
  </r>
  <r>
    <s v="TRX-0254"/>
    <x v="252"/>
    <x v="1"/>
    <s v="SKU-103"/>
    <n v="4"/>
    <s v="FLASHSALE"/>
    <x v="3"/>
    <x v="0"/>
    <n v="3400000"/>
    <n v="2100000"/>
    <n v="35000"/>
    <n v="0.3"/>
    <n v="13600000"/>
    <n v="4080000"/>
    <n v="9520000"/>
    <n v="8540000"/>
    <n v="980000"/>
    <n v="0.10294117647058823"/>
  </r>
  <r>
    <s v="TRX-0255"/>
    <x v="253"/>
    <x v="2"/>
    <s v="SKU-105"/>
    <n v="1"/>
    <s v="NONE"/>
    <x v="4"/>
    <x v="2"/>
    <n v="4200000"/>
    <n v="2400000"/>
    <n v="50000"/>
    <n v="0"/>
    <n v="4200000"/>
    <n v="0"/>
    <n v="4200000"/>
    <n v="2450000"/>
    <n v="1750000"/>
    <n v="0.41666666666666669"/>
  </r>
  <r>
    <s v="TRX-0256"/>
    <x v="25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257"/>
    <x v="255"/>
    <x v="0"/>
    <s v="SKU-102"/>
    <n v="4"/>
    <s v="HEMAT10"/>
    <x v="1"/>
    <x v="1"/>
    <n v="850000"/>
    <n v="450000"/>
    <n v="25000"/>
    <n v="0.1"/>
    <n v="3400000"/>
    <n v="340000"/>
    <n v="3060000"/>
    <n v="1900000"/>
    <n v="1160000"/>
    <n v="0.37908496732026142"/>
  </r>
  <r>
    <s v="TRX-0258"/>
    <x v="256"/>
    <x v="1"/>
    <s v="SKU-105"/>
    <n v="3"/>
    <s v="FLASHSALE"/>
    <x v="4"/>
    <x v="2"/>
    <n v="4200000"/>
    <n v="2400000"/>
    <n v="35000"/>
    <n v="0.3"/>
    <n v="12600000"/>
    <n v="3780000"/>
    <n v="8820000"/>
    <n v="7305000"/>
    <n v="1515000"/>
    <n v="0.17176870748299319"/>
  </r>
  <r>
    <s v="TRX-0259"/>
    <x v="257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260"/>
    <x v="258"/>
    <x v="3"/>
    <s v="SKU-104"/>
    <n v="3"/>
    <s v="SUPER20"/>
    <x v="2"/>
    <x v="2"/>
    <n v="2100000"/>
    <n v="1200000"/>
    <n v="65000"/>
    <n v="0.2"/>
    <n v="6300000"/>
    <n v="1260000"/>
    <n v="5040000"/>
    <n v="3795000"/>
    <n v="1245000"/>
    <n v="0.24702380952380953"/>
  </r>
  <r>
    <s v="TRX-0261"/>
    <x v="259"/>
    <x v="0"/>
    <s v="SKU-101"/>
    <n v="1"/>
    <s v="HEMAT10"/>
    <x v="0"/>
    <x v="0"/>
    <n v="12000000"/>
    <n v="8500000"/>
    <n v="25000"/>
    <n v="0.1"/>
    <n v="12000000"/>
    <n v="1200000"/>
    <n v="10800000"/>
    <n v="8525000"/>
    <n v="2275000"/>
    <n v="0.21064814814814814"/>
  </r>
  <r>
    <s v="TRX-0262"/>
    <x v="260"/>
    <x v="1"/>
    <s v="SKU-102"/>
    <n v="8"/>
    <s v="FLASHSALE"/>
    <x v="1"/>
    <x v="1"/>
    <n v="850000"/>
    <n v="450000"/>
    <n v="35000"/>
    <n v="0.3"/>
    <n v="6800000"/>
    <n v="2040000"/>
    <n v="4760000"/>
    <n v="3880000"/>
    <n v="880000"/>
    <n v="0.18487394957983194"/>
  </r>
  <r>
    <s v="TRX-0263"/>
    <x v="261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264"/>
    <x v="262"/>
    <x v="3"/>
    <s v="SKU-103"/>
    <n v="5"/>
    <s v="SUPER20"/>
    <x v="3"/>
    <x v="0"/>
    <n v="3400000"/>
    <n v="2100000"/>
    <n v="65000"/>
    <n v="0.2"/>
    <n v="17000000"/>
    <n v="3400000"/>
    <n v="13600000"/>
    <n v="10825000"/>
    <n v="2775000"/>
    <n v="0.20404411764705882"/>
  </r>
  <r>
    <s v="TRX-0265"/>
    <x v="263"/>
    <x v="0"/>
    <s v="SKU-105"/>
    <n v="3"/>
    <s v="HEMAT10"/>
    <x v="4"/>
    <x v="2"/>
    <n v="4200000"/>
    <n v="2400000"/>
    <n v="25000"/>
    <n v="0.1"/>
    <n v="12600000"/>
    <n v="1260000"/>
    <n v="11340000"/>
    <n v="7275000"/>
    <n v="4065000"/>
    <n v="0.35846560846560849"/>
  </r>
  <r>
    <s v="TRX-0266"/>
    <x v="264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267"/>
    <x v="265"/>
    <x v="2"/>
    <s v="SKU-102"/>
    <n v="5"/>
    <s v="FLASHSALE"/>
    <x v="1"/>
    <x v="1"/>
    <n v="850000"/>
    <n v="450000"/>
    <n v="50000"/>
    <n v="0.3"/>
    <n v="4250000"/>
    <n v="1275000"/>
    <n v="2975000"/>
    <n v="2500000"/>
    <n v="475000"/>
    <n v="0.15966386554621848"/>
  </r>
  <r>
    <s v="TRX-0268"/>
    <x v="266"/>
    <x v="3"/>
    <s v="SKU-105"/>
    <n v="2"/>
    <s v="SUPER20"/>
    <x v="4"/>
    <x v="2"/>
    <n v="4200000"/>
    <n v="2400000"/>
    <n v="65000"/>
    <n v="0.2"/>
    <n v="8400000"/>
    <n v="1680000"/>
    <n v="6720000"/>
    <n v="4930000"/>
    <n v="1790000"/>
    <n v="0.26636904761904762"/>
  </r>
  <r>
    <s v="TRX-0269"/>
    <x v="267"/>
    <x v="0"/>
    <s v="SKU-103"/>
    <n v="4"/>
    <s v="HEMAT10"/>
    <x v="3"/>
    <x v="0"/>
    <n v="3400000"/>
    <n v="2100000"/>
    <n v="25000"/>
    <n v="0.1"/>
    <n v="13600000"/>
    <n v="1360000"/>
    <n v="12240000"/>
    <n v="8500000"/>
    <n v="3740000"/>
    <n v="0.30555555555555558"/>
  </r>
  <r>
    <s v="TRX-0270"/>
    <x v="268"/>
    <x v="1"/>
    <s v="SKU-104"/>
    <n v="1"/>
    <s v="FLASHSALE"/>
    <x v="2"/>
    <x v="2"/>
    <n v="2100000"/>
    <n v="1200000"/>
    <n v="35000"/>
    <n v="0.3"/>
    <n v="2100000"/>
    <n v="630000"/>
    <n v="1470000"/>
    <n v="1235000"/>
    <n v="235000"/>
    <n v="0.1598639455782313"/>
  </r>
  <r>
    <s v="TRX-0271"/>
    <x v="26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272"/>
    <x v="270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273"/>
    <x v="271"/>
    <x v="0"/>
    <s v="SKU-104"/>
    <n v="3"/>
    <s v="HEMAT10"/>
    <x v="2"/>
    <x v="2"/>
    <n v="2100000"/>
    <n v="1200000"/>
    <n v="25000"/>
    <n v="0.1"/>
    <n v="6300000"/>
    <n v="630000"/>
    <n v="5670000"/>
    <n v="3675000"/>
    <n v="1995000"/>
    <n v="0.35185185185185186"/>
  </r>
  <r>
    <s v="TRX-0274"/>
    <x v="272"/>
    <x v="1"/>
    <s v="SKU-103"/>
    <n v="2"/>
    <s v="FLASHSALE"/>
    <x v="3"/>
    <x v="0"/>
    <n v="3400000"/>
    <n v="2100000"/>
    <n v="35000"/>
    <n v="0.3"/>
    <n v="6800000"/>
    <n v="2040000"/>
    <n v="4760000"/>
    <n v="4270000"/>
    <n v="490000"/>
    <n v="0.10294117647058823"/>
  </r>
  <r>
    <s v="TRX-0275"/>
    <x v="273"/>
    <x v="2"/>
    <s v="SKU-105"/>
    <n v="4"/>
    <s v="NONE"/>
    <x v="4"/>
    <x v="2"/>
    <n v="4200000"/>
    <n v="2400000"/>
    <n v="50000"/>
    <n v="0"/>
    <n v="16800000"/>
    <n v="0"/>
    <n v="16800000"/>
    <n v="9800000"/>
    <n v="7000000"/>
    <n v="0.41666666666666669"/>
  </r>
  <r>
    <s v="TRX-0276"/>
    <x v="274"/>
    <x v="3"/>
    <s v="SKU-101"/>
    <n v="3"/>
    <s v="SUPER20"/>
    <x v="0"/>
    <x v="0"/>
    <n v="12000000"/>
    <n v="8500000"/>
    <n v="65000"/>
    <n v="0.2"/>
    <n v="36000000"/>
    <n v="7200000"/>
    <n v="28800000"/>
    <n v="25695000"/>
    <n v="3105000"/>
    <n v="0.10781250000000001"/>
  </r>
  <r>
    <s v="TRX-0277"/>
    <x v="275"/>
    <x v="0"/>
    <s v="SKU-102"/>
    <n v="6"/>
    <s v="HEMAT10"/>
    <x v="1"/>
    <x v="1"/>
    <n v="850000"/>
    <n v="450000"/>
    <n v="25000"/>
    <n v="0.1"/>
    <n v="5100000"/>
    <n v="510000"/>
    <n v="4590000"/>
    <n v="2850000"/>
    <n v="1740000"/>
    <n v="0.37908496732026142"/>
  </r>
  <r>
    <s v="TRX-0278"/>
    <x v="276"/>
    <x v="1"/>
    <s v="SKU-105"/>
    <n v="1"/>
    <s v="FLASHSALE"/>
    <x v="4"/>
    <x v="2"/>
    <n v="4200000"/>
    <n v="2400000"/>
    <n v="35000"/>
    <n v="0.3"/>
    <n v="4200000"/>
    <n v="1260000"/>
    <n v="2940000"/>
    <n v="2435000"/>
    <n v="505000"/>
    <n v="0.17176870748299319"/>
  </r>
  <r>
    <s v="TRX-0279"/>
    <x v="277"/>
    <x v="2"/>
    <s v="SKU-103"/>
    <n v="3"/>
    <s v="NONE"/>
    <x v="3"/>
    <x v="0"/>
    <n v="3400000"/>
    <n v="2100000"/>
    <n v="50000"/>
    <n v="0"/>
    <n v="10200000"/>
    <n v="0"/>
    <n v="10200000"/>
    <n v="6450000"/>
    <n v="3750000"/>
    <n v="0.36764705882352944"/>
  </r>
  <r>
    <s v="TRX-0280"/>
    <x v="278"/>
    <x v="3"/>
    <s v="SKU-104"/>
    <n v="2"/>
    <s v="SUPER20"/>
    <x v="2"/>
    <x v="2"/>
    <n v="2100000"/>
    <n v="1200000"/>
    <n v="65000"/>
    <n v="0.2"/>
    <n v="4200000"/>
    <n v="840000"/>
    <n v="3360000"/>
    <n v="2530000"/>
    <n v="830000"/>
    <n v="0.24702380952380953"/>
  </r>
  <r>
    <s v="TRX-0281"/>
    <x v="279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282"/>
    <x v="280"/>
    <x v="1"/>
    <s v="SKU-102"/>
    <n v="5"/>
    <s v="FLASHSALE"/>
    <x v="1"/>
    <x v="1"/>
    <n v="850000"/>
    <n v="450000"/>
    <n v="35000"/>
    <n v="0.3"/>
    <n v="4250000"/>
    <n v="1275000"/>
    <n v="2975000"/>
    <n v="2425000"/>
    <n v="550000"/>
    <n v="0.18487394957983194"/>
  </r>
  <r>
    <s v="TRX-0283"/>
    <x v="281"/>
    <x v="2"/>
    <s v="SKU-104"/>
    <n v="4"/>
    <s v="NONE"/>
    <x v="2"/>
    <x v="2"/>
    <n v="2100000"/>
    <n v="1200000"/>
    <n v="50000"/>
    <n v="0"/>
    <n v="8400000"/>
    <n v="0"/>
    <n v="8400000"/>
    <n v="5000000"/>
    <n v="3400000"/>
    <n v="0.40476190476190477"/>
  </r>
  <r>
    <s v="TRX-0284"/>
    <x v="282"/>
    <x v="3"/>
    <s v="SKU-103"/>
    <n v="1"/>
    <s v="SUPER20"/>
    <x v="3"/>
    <x v="0"/>
    <n v="3400000"/>
    <n v="2100000"/>
    <n v="65000"/>
    <n v="0.2"/>
    <n v="3400000"/>
    <n v="680000"/>
    <n v="2720000"/>
    <n v="2165000"/>
    <n v="555000"/>
    <n v="0.20404411764705882"/>
  </r>
  <r>
    <s v="TRX-0285"/>
    <x v="283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286"/>
    <x v="284"/>
    <x v="1"/>
    <s v="SKU-101"/>
    <n v="3"/>
    <s v="NONE"/>
    <x v="0"/>
    <x v="0"/>
    <n v="12000000"/>
    <n v="8500000"/>
    <n v="35000"/>
    <n v="0"/>
    <n v="36000000"/>
    <n v="0"/>
    <n v="36000000"/>
    <n v="25605000"/>
    <n v="10395000"/>
    <n v="0.28875000000000001"/>
  </r>
  <r>
    <s v="TRX-0287"/>
    <x v="285"/>
    <x v="2"/>
    <s v="SKU-102"/>
    <n v="7"/>
    <s v="FLASHSALE"/>
    <x v="1"/>
    <x v="1"/>
    <n v="850000"/>
    <n v="450000"/>
    <n v="50000"/>
    <n v="0.3"/>
    <n v="5950000"/>
    <n v="1785000"/>
    <n v="4165000"/>
    <n v="3500000"/>
    <n v="665000"/>
    <n v="0.15966386554621848"/>
  </r>
  <r>
    <s v="TRX-0288"/>
    <x v="286"/>
    <x v="3"/>
    <s v="SKU-105"/>
    <n v="3"/>
    <s v="SUPER20"/>
    <x v="4"/>
    <x v="2"/>
    <n v="4200000"/>
    <n v="2400000"/>
    <n v="65000"/>
    <n v="0.2"/>
    <n v="12600000"/>
    <n v="2520000"/>
    <n v="10080000"/>
    <n v="7395000"/>
    <n v="2685000"/>
    <n v="0.26636904761904762"/>
  </r>
  <r>
    <s v="TRX-0289"/>
    <x v="287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290"/>
    <x v="288"/>
    <x v="1"/>
    <s v="SKU-104"/>
    <n v="4"/>
    <s v="FLASHSALE"/>
    <x v="2"/>
    <x v="2"/>
    <n v="2100000"/>
    <n v="1200000"/>
    <n v="35000"/>
    <n v="0.3"/>
    <n v="8400000"/>
    <n v="2520000"/>
    <n v="5880000"/>
    <n v="4940000"/>
    <n v="940000"/>
    <n v="0.1598639455782313"/>
  </r>
  <r>
    <s v="TRX-0291"/>
    <x v="289"/>
    <x v="2"/>
    <s v="SKU-101"/>
    <n v="1"/>
    <s v="NONE"/>
    <x v="0"/>
    <x v="0"/>
    <n v="12000000"/>
    <n v="8500000"/>
    <n v="50000"/>
    <n v="0"/>
    <n v="12000000"/>
    <n v="0"/>
    <n v="12000000"/>
    <n v="8550000"/>
    <n v="3450000"/>
    <n v="0.28749999999999998"/>
  </r>
  <r>
    <s v="TRX-0292"/>
    <x v="290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293"/>
    <x v="291"/>
    <x v="0"/>
    <s v="SKU-104"/>
    <n v="2"/>
    <s v="HEMAT10"/>
    <x v="2"/>
    <x v="2"/>
    <n v="2100000"/>
    <n v="1200000"/>
    <n v="25000"/>
    <n v="0.1"/>
    <n v="4200000"/>
    <n v="420000"/>
    <n v="3780000"/>
    <n v="2450000"/>
    <n v="1330000"/>
    <n v="0.35185185185185186"/>
  </r>
  <r>
    <s v="TRX-0294"/>
    <x v="292"/>
    <x v="1"/>
    <s v="SKU-103"/>
    <n v="5"/>
    <s v="FLASHSALE"/>
    <x v="3"/>
    <x v="0"/>
    <n v="3400000"/>
    <n v="2100000"/>
    <n v="35000"/>
    <n v="0.3"/>
    <n v="17000000"/>
    <n v="5100000"/>
    <n v="11900000"/>
    <n v="10675000"/>
    <n v="1225000"/>
    <n v="0.10294117647058823"/>
  </r>
  <r>
    <s v="TRX-0295"/>
    <x v="293"/>
    <x v="2"/>
    <s v="SKU-105"/>
    <n v="3"/>
    <s v="NONE"/>
    <x v="4"/>
    <x v="2"/>
    <n v="4200000"/>
    <n v="2400000"/>
    <n v="50000"/>
    <n v="0"/>
    <n v="12600000"/>
    <n v="0"/>
    <n v="12600000"/>
    <n v="7350000"/>
    <n v="5250000"/>
    <n v="0.41666666666666669"/>
  </r>
  <r>
    <s v="TRX-0296"/>
    <x v="294"/>
    <x v="3"/>
    <s v="SKU-101"/>
    <n v="1"/>
    <s v="SUPER20"/>
    <x v="0"/>
    <x v="0"/>
    <n v="12000000"/>
    <n v="8500000"/>
    <n v="65000"/>
    <n v="0.2"/>
    <n v="12000000"/>
    <n v="2400000"/>
    <n v="9600000"/>
    <n v="8565000"/>
    <n v="1035000"/>
    <n v="0.10781250000000001"/>
  </r>
  <r>
    <s v="TRX-0297"/>
    <x v="295"/>
    <x v="0"/>
    <s v="SKU-102"/>
    <n v="8"/>
    <s v="HEMAT10"/>
    <x v="1"/>
    <x v="1"/>
    <n v="850000"/>
    <n v="450000"/>
    <n v="25000"/>
    <n v="0.1"/>
    <n v="6800000"/>
    <n v="680000"/>
    <n v="6120000"/>
    <n v="3800000"/>
    <n v="2320000"/>
    <n v="0.37908496732026142"/>
  </r>
  <r>
    <s v="TRX-0298"/>
    <x v="296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299"/>
    <x v="297"/>
    <x v="2"/>
    <s v="SKU-103"/>
    <n v="4"/>
    <s v="NONE"/>
    <x v="3"/>
    <x v="0"/>
    <n v="3400000"/>
    <n v="2100000"/>
    <n v="50000"/>
    <n v="0"/>
    <n v="13600000"/>
    <n v="0"/>
    <n v="13600000"/>
    <n v="8600000"/>
    <n v="5000000"/>
    <n v="0.36764705882352944"/>
  </r>
  <r>
    <s v="TRX-0300"/>
    <x v="298"/>
    <x v="3"/>
    <s v="SKU-104"/>
    <n v="1"/>
    <s v="SUPER20"/>
    <x v="2"/>
    <x v="2"/>
    <n v="2100000"/>
    <n v="1200000"/>
    <n v="65000"/>
    <n v="0.2"/>
    <n v="2100000"/>
    <n v="420000"/>
    <n v="1680000"/>
    <n v="1265000"/>
    <n v="415000"/>
    <n v="0.24702380952380953"/>
  </r>
  <r>
    <s v="TRX-0301"/>
    <x v="299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302"/>
    <x v="300"/>
    <x v="1"/>
    <s v="SKU-102"/>
    <n v="4"/>
    <s v="FLASHSALE"/>
    <x v="1"/>
    <x v="1"/>
    <n v="850000"/>
    <n v="450000"/>
    <n v="35000"/>
    <n v="0.3"/>
    <n v="3400000"/>
    <n v="1020000"/>
    <n v="2380000"/>
    <n v="1940000"/>
    <n v="440000"/>
    <n v="0.18487394957983194"/>
  </r>
  <r>
    <s v="TRX-0303"/>
    <x v="301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304"/>
    <x v="302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305"/>
    <x v="303"/>
    <x v="0"/>
    <s v="SKU-105"/>
    <n v="4"/>
    <s v="HEMAT10"/>
    <x v="4"/>
    <x v="2"/>
    <n v="4200000"/>
    <n v="2400000"/>
    <n v="25000"/>
    <n v="0.1"/>
    <n v="16800000"/>
    <n v="1680000"/>
    <n v="15120000"/>
    <n v="9700000"/>
    <n v="5420000"/>
    <n v="0.35846560846560849"/>
  </r>
  <r>
    <s v="TRX-0306"/>
    <x v="304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307"/>
    <x v="305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308"/>
    <x v="306"/>
    <x v="3"/>
    <s v="SKU-105"/>
    <n v="2"/>
    <s v="SUPER20"/>
    <x v="4"/>
    <x v="2"/>
    <n v="4200000"/>
    <n v="2400000"/>
    <n v="65000"/>
    <n v="0.2"/>
    <n v="8400000"/>
    <n v="1680000"/>
    <n v="6720000"/>
    <n v="4930000"/>
    <n v="1790000"/>
    <n v="0.26636904761904762"/>
  </r>
  <r>
    <s v="TRX-0309"/>
    <x v="307"/>
    <x v="0"/>
    <s v="SKU-103"/>
    <n v="5"/>
    <s v="HEMAT10"/>
    <x v="3"/>
    <x v="0"/>
    <n v="3400000"/>
    <n v="2100000"/>
    <n v="25000"/>
    <n v="0.1"/>
    <n v="17000000"/>
    <n v="1700000"/>
    <n v="15300000"/>
    <n v="10625000"/>
    <n v="4675000"/>
    <n v="0.30555555555555558"/>
  </r>
  <r>
    <s v="TRX-0310"/>
    <x v="308"/>
    <x v="1"/>
    <s v="SKU-104"/>
    <n v="3"/>
    <s v="FLASHSALE"/>
    <x v="2"/>
    <x v="2"/>
    <n v="2100000"/>
    <n v="1200000"/>
    <n v="35000"/>
    <n v="0.3"/>
    <n v="6300000"/>
    <n v="1890000"/>
    <n v="4410000"/>
    <n v="3705000"/>
    <n v="705000"/>
    <n v="0.1598639455782313"/>
  </r>
  <r>
    <s v="TRX-0311"/>
    <x v="30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312"/>
    <x v="310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313"/>
    <x v="311"/>
    <x v="0"/>
    <s v="SKU-104"/>
    <n v="1"/>
    <s v="HEMAT10"/>
    <x v="2"/>
    <x v="2"/>
    <n v="2100000"/>
    <n v="1200000"/>
    <n v="25000"/>
    <n v="0.1"/>
    <n v="2100000"/>
    <n v="210000"/>
    <n v="1890000"/>
    <n v="1225000"/>
    <n v="665000"/>
    <n v="0.35185185185185186"/>
  </r>
  <r>
    <s v="TRX-0314"/>
    <x v="312"/>
    <x v="1"/>
    <s v="SKU-103"/>
    <n v="2"/>
    <s v="FLASHSALE"/>
    <x v="3"/>
    <x v="0"/>
    <n v="3400000"/>
    <n v="2100000"/>
    <n v="35000"/>
    <n v="0.3"/>
    <n v="6800000"/>
    <n v="2040000"/>
    <n v="4760000"/>
    <n v="4270000"/>
    <n v="490000"/>
    <n v="0.10294117647058823"/>
  </r>
  <r>
    <s v="TRX-0315"/>
    <x v="313"/>
    <x v="2"/>
    <s v="SKU-105"/>
    <n v="5"/>
    <s v="NONE"/>
    <x v="4"/>
    <x v="2"/>
    <n v="4200000"/>
    <n v="2400000"/>
    <n v="50000"/>
    <n v="0"/>
    <n v="21000000"/>
    <n v="0"/>
    <n v="21000000"/>
    <n v="12250000"/>
    <n v="8750000"/>
    <n v="0.41666666666666669"/>
  </r>
  <r>
    <s v="TRX-0316"/>
    <x v="31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317"/>
    <x v="315"/>
    <x v="0"/>
    <s v="SKU-102"/>
    <n v="4"/>
    <s v="HEMAT10"/>
    <x v="1"/>
    <x v="1"/>
    <n v="850000"/>
    <n v="450000"/>
    <n v="25000"/>
    <n v="0.1"/>
    <n v="3400000"/>
    <n v="340000"/>
    <n v="3060000"/>
    <n v="1900000"/>
    <n v="1160000"/>
    <n v="0.37908496732026142"/>
  </r>
  <r>
    <s v="TRX-0318"/>
    <x v="316"/>
    <x v="1"/>
    <s v="SKU-105"/>
    <n v="3"/>
    <s v="FLASHSALE"/>
    <x v="4"/>
    <x v="2"/>
    <n v="4200000"/>
    <n v="2400000"/>
    <n v="35000"/>
    <n v="0.3"/>
    <n v="12600000"/>
    <n v="3780000"/>
    <n v="8820000"/>
    <n v="7305000"/>
    <n v="1515000"/>
    <n v="0.17176870748299319"/>
  </r>
  <r>
    <s v="TRX-0319"/>
    <x v="317"/>
    <x v="2"/>
    <s v="SKU-103"/>
    <n v="1"/>
    <s v="NONE"/>
    <x v="3"/>
    <x v="0"/>
    <n v="3400000"/>
    <n v="2100000"/>
    <n v="50000"/>
    <n v="0"/>
    <n v="3400000"/>
    <n v="0"/>
    <n v="3400000"/>
    <n v="2150000"/>
    <n v="1250000"/>
    <n v="0.36764705882352944"/>
  </r>
  <r>
    <s v="TRX-0320"/>
    <x v="318"/>
    <x v="3"/>
    <s v="SKU-104"/>
    <n v="4"/>
    <s v="SUPER20"/>
    <x v="2"/>
    <x v="2"/>
    <n v="2100000"/>
    <n v="1200000"/>
    <n v="65000"/>
    <n v="0.2"/>
    <n v="8400000"/>
    <n v="1680000"/>
    <n v="6720000"/>
    <n v="5060000"/>
    <n v="1660000"/>
    <n v="0.24702380952380953"/>
  </r>
  <r>
    <s v="TRX-0321"/>
    <x v="319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322"/>
    <x v="320"/>
    <x v="1"/>
    <s v="SKU-102"/>
    <n v="8"/>
    <s v="FLASHSALE"/>
    <x v="1"/>
    <x v="1"/>
    <n v="850000"/>
    <n v="450000"/>
    <n v="35000"/>
    <n v="0.3"/>
    <n v="6800000"/>
    <n v="2040000"/>
    <n v="4760000"/>
    <n v="3880000"/>
    <n v="880000"/>
    <n v="0.18487394957983194"/>
  </r>
  <r>
    <s v="TRX-0323"/>
    <x v="321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324"/>
    <x v="322"/>
    <x v="3"/>
    <s v="SKU-103"/>
    <n v="4"/>
    <s v="SUPER20"/>
    <x v="3"/>
    <x v="0"/>
    <n v="3400000"/>
    <n v="2100000"/>
    <n v="65000"/>
    <n v="0.2"/>
    <n v="13600000"/>
    <n v="2720000"/>
    <n v="10880000"/>
    <n v="8660000"/>
    <n v="2220000"/>
    <n v="0.20404411764705882"/>
  </r>
  <r>
    <s v="TRX-0325"/>
    <x v="323"/>
    <x v="0"/>
    <s v="SKU-105"/>
    <n v="1"/>
    <s v="HEMAT10"/>
    <x v="4"/>
    <x v="2"/>
    <n v="4200000"/>
    <n v="2400000"/>
    <n v="25000"/>
    <n v="0.1"/>
    <n v="4200000"/>
    <n v="420000"/>
    <n v="3780000"/>
    <n v="2425000"/>
    <n v="1355000"/>
    <n v="0.35846560846560849"/>
  </r>
  <r>
    <s v="TRX-0326"/>
    <x v="324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327"/>
    <x v="325"/>
    <x v="2"/>
    <s v="SKU-102"/>
    <n v="5"/>
    <s v="FLASHSALE"/>
    <x v="1"/>
    <x v="1"/>
    <n v="850000"/>
    <n v="450000"/>
    <n v="50000"/>
    <n v="0.3"/>
    <n v="4250000"/>
    <n v="1275000"/>
    <n v="2975000"/>
    <n v="2500000"/>
    <n v="475000"/>
    <n v="0.15966386554621848"/>
  </r>
  <r>
    <s v="TRX-0328"/>
    <x v="326"/>
    <x v="3"/>
    <s v="SKU-105"/>
    <n v="4"/>
    <s v="SUPER20"/>
    <x v="4"/>
    <x v="2"/>
    <n v="4200000"/>
    <n v="2400000"/>
    <n v="65000"/>
    <n v="0.2"/>
    <n v="16800000"/>
    <n v="3360000"/>
    <n v="13440000"/>
    <n v="9860000"/>
    <n v="3580000"/>
    <n v="0.26636904761904762"/>
  </r>
  <r>
    <s v="TRX-0329"/>
    <x v="327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330"/>
    <x v="328"/>
    <x v="1"/>
    <s v="SKU-104"/>
    <n v="1"/>
    <s v="FLASHSALE"/>
    <x v="2"/>
    <x v="2"/>
    <n v="2100000"/>
    <n v="1200000"/>
    <n v="35000"/>
    <n v="0.3"/>
    <n v="2100000"/>
    <n v="630000"/>
    <n v="1470000"/>
    <n v="1235000"/>
    <n v="235000"/>
    <n v="0.1598639455782313"/>
  </r>
  <r>
    <s v="TRX-0331"/>
    <x v="329"/>
    <x v="2"/>
    <s v="SKU-101"/>
    <n v="4"/>
    <s v="NONE"/>
    <x v="0"/>
    <x v="0"/>
    <n v="12000000"/>
    <n v="8500000"/>
    <n v="50000"/>
    <n v="0"/>
    <n v="48000000"/>
    <n v="0"/>
    <n v="48000000"/>
    <n v="34200000"/>
    <n v="13800000"/>
    <n v="0.28749999999999998"/>
  </r>
  <r>
    <s v="TRX-0332"/>
    <x v="330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333"/>
    <x v="331"/>
    <x v="0"/>
    <s v="SKU-104"/>
    <n v="3"/>
    <s v="HEMAT10"/>
    <x v="2"/>
    <x v="2"/>
    <n v="2100000"/>
    <n v="1200000"/>
    <n v="25000"/>
    <n v="0.1"/>
    <n v="6300000"/>
    <n v="630000"/>
    <n v="5670000"/>
    <n v="3675000"/>
    <n v="1995000"/>
    <n v="0.35185185185185186"/>
  </r>
  <r>
    <s v="TRX-0334"/>
    <x v="332"/>
    <x v="1"/>
    <s v="SKU-103"/>
    <n v="5"/>
    <s v="FLASHSALE"/>
    <x v="3"/>
    <x v="0"/>
    <n v="3400000"/>
    <n v="2100000"/>
    <n v="35000"/>
    <n v="0.3"/>
    <n v="17000000"/>
    <n v="5100000"/>
    <n v="11900000"/>
    <n v="10675000"/>
    <n v="1225000"/>
    <n v="0.10294117647058823"/>
  </r>
  <r>
    <s v="TRX-0335"/>
    <x v="333"/>
    <x v="2"/>
    <s v="SKU-105"/>
    <n v="2"/>
    <s v="NONE"/>
    <x v="4"/>
    <x v="2"/>
    <n v="4200000"/>
    <n v="2400000"/>
    <n v="50000"/>
    <n v="0"/>
    <n v="8400000"/>
    <n v="0"/>
    <n v="8400000"/>
    <n v="4900000"/>
    <n v="3500000"/>
    <n v="0.41666666666666669"/>
  </r>
  <r>
    <s v="TRX-0336"/>
    <x v="334"/>
    <x v="3"/>
    <s v="SKU-101"/>
    <n v="1"/>
    <s v="SUPER20"/>
    <x v="0"/>
    <x v="0"/>
    <n v="12000000"/>
    <n v="8500000"/>
    <n v="65000"/>
    <n v="0.2"/>
    <n v="12000000"/>
    <n v="2400000"/>
    <n v="9600000"/>
    <n v="8565000"/>
    <n v="1035000"/>
    <n v="0.10781250000000001"/>
  </r>
  <r>
    <s v="TRX-0337"/>
    <x v="335"/>
    <x v="0"/>
    <s v="SKU-102"/>
    <n v="7"/>
    <s v="HEMAT10"/>
    <x v="1"/>
    <x v="1"/>
    <n v="850000"/>
    <n v="450000"/>
    <n v="25000"/>
    <n v="0.1"/>
    <n v="5950000"/>
    <n v="595000"/>
    <n v="5355000"/>
    <n v="3325000"/>
    <n v="2030000"/>
    <n v="0.37908496732026142"/>
  </r>
  <r>
    <s v="TRX-0338"/>
    <x v="336"/>
    <x v="1"/>
    <s v="SKU-105"/>
    <n v="3"/>
    <s v="FLASHSALE"/>
    <x v="4"/>
    <x v="2"/>
    <n v="4200000"/>
    <n v="2400000"/>
    <n v="35000"/>
    <n v="0.3"/>
    <n v="12600000"/>
    <n v="3780000"/>
    <n v="8820000"/>
    <n v="7305000"/>
    <n v="1515000"/>
    <n v="0.17176870748299319"/>
  </r>
  <r>
    <s v="TRX-0339"/>
    <x v="337"/>
    <x v="2"/>
    <s v="SKU-103"/>
    <n v="4"/>
    <s v="NONE"/>
    <x v="3"/>
    <x v="0"/>
    <n v="3400000"/>
    <n v="2100000"/>
    <n v="50000"/>
    <n v="0"/>
    <n v="13600000"/>
    <n v="0"/>
    <n v="13600000"/>
    <n v="8600000"/>
    <n v="5000000"/>
    <n v="0.36764705882352944"/>
  </r>
  <r>
    <s v="TRX-0340"/>
    <x v="338"/>
    <x v="3"/>
    <s v="SKU-104"/>
    <n v="2"/>
    <s v="SUPER20"/>
    <x v="2"/>
    <x v="2"/>
    <n v="2100000"/>
    <n v="1200000"/>
    <n v="65000"/>
    <n v="0.2"/>
    <n v="4200000"/>
    <n v="840000"/>
    <n v="3360000"/>
    <n v="2530000"/>
    <n v="830000"/>
    <n v="0.24702380952380953"/>
  </r>
  <r>
    <s v="TRX-0341"/>
    <x v="339"/>
    <x v="0"/>
    <s v="SKU-101"/>
    <n v="4"/>
    <s v="HEMAT10"/>
    <x v="0"/>
    <x v="0"/>
    <n v="12000000"/>
    <n v="8500000"/>
    <n v="25000"/>
    <n v="0.1"/>
    <n v="48000000"/>
    <n v="4800000"/>
    <n v="43200000"/>
    <n v="34100000"/>
    <n v="9100000"/>
    <n v="0.21064814814814814"/>
  </r>
  <r>
    <s v="TRX-0342"/>
    <x v="340"/>
    <x v="1"/>
    <s v="SKU-102"/>
    <n v="6"/>
    <s v="FLASHSALE"/>
    <x v="1"/>
    <x v="1"/>
    <n v="850000"/>
    <n v="450000"/>
    <n v="35000"/>
    <n v="0.3"/>
    <n v="5100000"/>
    <n v="1530000"/>
    <n v="3570000"/>
    <n v="2910000"/>
    <n v="660000"/>
    <n v="0.18487394957983194"/>
  </r>
  <r>
    <s v="TRX-0343"/>
    <x v="341"/>
    <x v="2"/>
    <s v="SKU-104"/>
    <n v="1"/>
    <s v="NONE"/>
    <x v="2"/>
    <x v="2"/>
    <n v="2100000"/>
    <n v="1200000"/>
    <n v="50000"/>
    <n v="0"/>
    <n v="2100000"/>
    <n v="0"/>
    <n v="2100000"/>
    <n v="1250000"/>
    <n v="850000"/>
    <n v="0.40476190476190477"/>
  </r>
  <r>
    <s v="TRX-0344"/>
    <x v="342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345"/>
    <x v="343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346"/>
    <x v="344"/>
    <x v="1"/>
    <s v="SKU-101"/>
    <n v="5"/>
    <s v="NONE"/>
    <x v="0"/>
    <x v="0"/>
    <n v="12000000"/>
    <n v="8500000"/>
    <n v="35000"/>
    <n v="0"/>
    <n v="60000000"/>
    <n v="0"/>
    <n v="60000000"/>
    <n v="42675000"/>
    <n v="17325000"/>
    <n v="0.28875000000000001"/>
  </r>
  <r>
    <s v="TRX-0347"/>
    <x v="345"/>
    <x v="2"/>
    <s v="SKU-102"/>
    <n v="8"/>
    <s v="FLASHSALE"/>
    <x v="1"/>
    <x v="1"/>
    <n v="850000"/>
    <n v="450000"/>
    <n v="50000"/>
    <n v="0.3"/>
    <n v="6800000"/>
    <n v="2040000"/>
    <n v="4760000"/>
    <n v="4000000"/>
    <n v="760000"/>
    <n v="0.15966386554621848"/>
  </r>
  <r>
    <s v="TRX-0348"/>
    <x v="346"/>
    <x v="3"/>
    <s v="SKU-105"/>
    <n v="1"/>
    <s v="SUPER20"/>
    <x v="4"/>
    <x v="2"/>
    <n v="4200000"/>
    <n v="2400000"/>
    <n v="65000"/>
    <n v="0.2"/>
    <n v="4200000"/>
    <n v="840000"/>
    <n v="3360000"/>
    <n v="2465000"/>
    <n v="895000"/>
    <n v="0.26636904761904762"/>
  </r>
  <r>
    <s v="TRX-0349"/>
    <x v="347"/>
    <x v="0"/>
    <s v="SKU-103"/>
    <n v="3"/>
    <s v="HEMAT10"/>
    <x v="3"/>
    <x v="0"/>
    <n v="3400000"/>
    <n v="2100000"/>
    <n v="25000"/>
    <n v="0.1"/>
    <n v="10200000"/>
    <n v="1020000"/>
    <n v="9180000"/>
    <n v="6375000"/>
    <n v="2805000"/>
    <n v="0.30555555555555558"/>
  </r>
  <r>
    <s v="TRX-0350"/>
    <x v="348"/>
    <x v="1"/>
    <s v="SKU-104"/>
    <n v="4"/>
    <s v="FLASHSALE"/>
    <x v="2"/>
    <x v="2"/>
    <n v="2100000"/>
    <n v="1200000"/>
    <n v="35000"/>
    <n v="0.3"/>
    <n v="8400000"/>
    <n v="2520000"/>
    <n v="5880000"/>
    <n v="4940000"/>
    <n v="940000"/>
    <n v="0.1598639455782313"/>
  </r>
  <r>
    <s v="TRX-0351"/>
    <x v="349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352"/>
    <x v="350"/>
    <x v="3"/>
    <s v="SKU-102"/>
    <n v="5"/>
    <s v="SUPER20"/>
    <x v="1"/>
    <x v="1"/>
    <n v="850000"/>
    <n v="450000"/>
    <n v="65000"/>
    <n v="0.2"/>
    <n v="4250000"/>
    <n v="850000"/>
    <n v="3400000"/>
    <n v="2575000"/>
    <n v="825000"/>
    <n v="0.24264705882352941"/>
  </r>
  <r>
    <s v="TRX-0353"/>
    <x v="351"/>
    <x v="0"/>
    <s v="SKU-104"/>
    <n v="2"/>
    <s v="HEMAT10"/>
    <x v="2"/>
    <x v="2"/>
    <n v="2100000"/>
    <n v="1200000"/>
    <n v="25000"/>
    <n v="0.1"/>
    <n v="4200000"/>
    <n v="420000"/>
    <n v="3780000"/>
    <n v="2450000"/>
    <n v="1330000"/>
    <n v="0.35185185185185186"/>
  </r>
  <r>
    <s v="TRX-0354"/>
    <x v="352"/>
    <x v="1"/>
    <s v="SKU-103"/>
    <n v="1"/>
    <s v="FLASHSALE"/>
    <x v="3"/>
    <x v="0"/>
    <n v="3400000"/>
    <n v="2100000"/>
    <n v="35000"/>
    <n v="0.3"/>
    <n v="3400000"/>
    <n v="1020000"/>
    <n v="2380000"/>
    <n v="2135000"/>
    <n v="245000"/>
    <n v="0.10294117647058823"/>
  </r>
  <r>
    <s v="TRX-0355"/>
    <x v="353"/>
    <x v="2"/>
    <s v="SKU-105"/>
    <n v="3"/>
    <s v="NONE"/>
    <x v="4"/>
    <x v="2"/>
    <n v="4200000"/>
    <n v="2400000"/>
    <n v="50000"/>
    <n v="0"/>
    <n v="12600000"/>
    <n v="0"/>
    <n v="12600000"/>
    <n v="7350000"/>
    <n v="5250000"/>
    <n v="0.41666666666666669"/>
  </r>
  <r>
    <s v="TRX-0356"/>
    <x v="354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357"/>
    <x v="355"/>
    <x v="0"/>
    <s v="SKU-102"/>
    <n v="6"/>
    <s v="HEMAT10"/>
    <x v="1"/>
    <x v="1"/>
    <n v="850000"/>
    <n v="450000"/>
    <n v="25000"/>
    <n v="0.1"/>
    <n v="5100000"/>
    <n v="510000"/>
    <n v="4590000"/>
    <n v="2850000"/>
    <n v="1740000"/>
    <n v="0.37908496732026142"/>
  </r>
  <r>
    <s v="TRX-0358"/>
    <x v="356"/>
    <x v="1"/>
    <s v="SKU-105"/>
    <n v="4"/>
    <s v="FLASHSALE"/>
    <x v="4"/>
    <x v="2"/>
    <n v="4200000"/>
    <n v="2400000"/>
    <n v="35000"/>
    <n v="0.3"/>
    <n v="16800000"/>
    <n v="5040000"/>
    <n v="11760000"/>
    <n v="9740000"/>
    <n v="2020000"/>
    <n v="0.17176870748299319"/>
  </r>
  <r>
    <s v="TRX-0359"/>
    <x v="357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360"/>
    <x v="358"/>
    <x v="3"/>
    <s v="SKU-104"/>
    <n v="3"/>
    <s v="SUPER20"/>
    <x v="2"/>
    <x v="2"/>
    <n v="2100000"/>
    <n v="1200000"/>
    <n v="65000"/>
    <n v="0.2"/>
    <n v="6300000"/>
    <n v="1260000"/>
    <n v="5040000"/>
    <n v="3795000"/>
    <n v="1245000"/>
    <n v="0.24702380952380953"/>
  </r>
  <r>
    <s v="TRX-0361"/>
    <x v="359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362"/>
    <x v="360"/>
    <x v="1"/>
    <s v="SKU-102"/>
    <n v="7"/>
    <s v="FLASHSALE"/>
    <x v="1"/>
    <x v="1"/>
    <n v="850000"/>
    <n v="450000"/>
    <n v="35000"/>
    <n v="0.3"/>
    <n v="5950000"/>
    <n v="1785000"/>
    <n v="4165000"/>
    <n v="3395000"/>
    <n v="770000"/>
    <n v="0.18487394957983194"/>
  </r>
  <r>
    <s v="TRX-0363"/>
    <x v="361"/>
    <x v="2"/>
    <s v="SKU-104"/>
    <n v="1"/>
    <s v="NONE"/>
    <x v="2"/>
    <x v="2"/>
    <n v="2100000"/>
    <n v="1200000"/>
    <n v="50000"/>
    <n v="0"/>
    <n v="2100000"/>
    <n v="0"/>
    <n v="2100000"/>
    <n v="1250000"/>
    <n v="850000"/>
    <n v="0.40476190476190477"/>
  </r>
  <r>
    <s v="TRX-0364"/>
    <x v="362"/>
    <x v="3"/>
    <s v="SKU-103"/>
    <n v="4"/>
    <s v="SUPER20"/>
    <x v="3"/>
    <x v="0"/>
    <n v="3400000"/>
    <n v="2100000"/>
    <n v="65000"/>
    <n v="0.2"/>
    <n v="13600000"/>
    <n v="2720000"/>
    <n v="10880000"/>
    <n v="8660000"/>
    <n v="2220000"/>
    <n v="0.20404411764705882"/>
  </r>
  <r>
    <s v="TRX-0365"/>
    <x v="363"/>
    <x v="0"/>
    <s v="SKU-105"/>
    <n v="5"/>
    <s v="HEMAT10"/>
    <x v="4"/>
    <x v="2"/>
    <n v="4200000"/>
    <n v="2400000"/>
    <n v="25000"/>
    <n v="0.1"/>
    <n v="21000000"/>
    <n v="2100000"/>
    <n v="18900000"/>
    <n v="12125000"/>
    <n v="6775000"/>
    <n v="0.35846560846560849"/>
  </r>
  <r>
    <s v="TRX-0366"/>
    <x v="3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367"/>
    <x v="10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368"/>
    <x v="17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369"/>
    <x v="24"/>
    <x v="0"/>
    <s v="SKU-104"/>
    <n v="4"/>
    <s v="HEMAT10"/>
    <x v="2"/>
    <x v="2"/>
    <n v="2100000"/>
    <n v="1200000"/>
    <n v="25000"/>
    <n v="0.1"/>
    <n v="8400000"/>
    <n v="840000"/>
    <n v="7560000"/>
    <n v="4900000"/>
    <n v="2660000"/>
    <n v="0.35185185185185186"/>
  </r>
  <r>
    <s v="TRX-0370"/>
    <x v="31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371"/>
    <x v="38"/>
    <x v="2"/>
    <s v="SKU-101"/>
    <n v="1"/>
    <s v="NONE"/>
    <x v="0"/>
    <x v="0"/>
    <n v="12000000"/>
    <n v="8500000"/>
    <n v="50000"/>
    <n v="0"/>
    <n v="12000000"/>
    <n v="0"/>
    <n v="12000000"/>
    <n v="8550000"/>
    <n v="3450000"/>
    <n v="0.28749999999999998"/>
  </r>
  <r>
    <s v="TRX-0372"/>
    <x v="45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373"/>
    <x v="52"/>
    <x v="0"/>
    <s v="SKU-103"/>
    <n v="5"/>
    <s v="HEMAT10"/>
    <x v="3"/>
    <x v="0"/>
    <n v="3400000"/>
    <n v="2100000"/>
    <n v="25000"/>
    <n v="0.1"/>
    <n v="17000000"/>
    <n v="1700000"/>
    <n v="15300000"/>
    <n v="10625000"/>
    <n v="4675000"/>
    <n v="0.30555555555555558"/>
  </r>
  <r>
    <s v="TRX-0374"/>
    <x v="59"/>
    <x v="1"/>
    <s v="SKU-104"/>
    <n v="2"/>
    <s v="FLASHSALE"/>
    <x v="2"/>
    <x v="2"/>
    <n v="2100000"/>
    <n v="1200000"/>
    <n v="35000"/>
    <n v="0.3"/>
    <n v="4200000"/>
    <n v="1260000"/>
    <n v="2940000"/>
    <n v="2470000"/>
    <n v="470000"/>
    <n v="0.1598639455782313"/>
  </r>
  <r>
    <s v="TRX-0375"/>
    <x v="66"/>
    <x v="2"/>
    <s v="SKU-105"/>
    <n v="3"/>
    <s v="NONE"/>
    <x v="4"/>
    <x v="2"/>
    <n v="4200000"/>
    <n v="2400000"/>
    <n v="50000"/>
    <n v="0"/>
    <n v="12600000"/>
    <n v="0"/>
    <n v="12600000"/>
    <n v="7350000"/>
    <n v="5250000"/>
    <n v="0.41666666666666669"/>
  </r>
  <r>
    <s v="TRX-0376"/>
    <x v="73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377"/>
    <x v="80"/>
    <x v="0"/>
    <s v="SKU-102"/>
    <n v="8"/>
    <s v="HEMAT10"/>
    <x v="1"/>
    <x v="1"/>
    <n v="850000"/>
    <n v="450000"/>
    <n v="25000"/>
    <n v="0.1"/>
    <n v="6800000"/>
    <n v="680000"/>
    <n v="6120000"/>
    <n v="3800000"/>
    <n v="2320000"/>
    <n v="0.37908496732026142"/>
  </r>
  <r>
    <s v="TRX-0378"/>
    <x v="87"/>
    <x v="1"/>
    <s v="SKU-103"/>
    <n v="1"/>
    <s v="FLASHSALE"/>
    <x v="3"/>
    <x v="0"/>
    <n v="3400000"/>
    <n v="2100000"/>
    <n v="35000"/>
    <n v="0.3"/>
    <n v="3400000"/>
    <n v="1020000"/>
    <n v="2380000"/>
    <n v="2135000"/>
    <n v="245000"/>
    <n v="0.10294117647058823"/>
  </r>
  <r>
    <s v="TRX-0379"/>
    <x v="94"/>
    <x v="2"/>
    <s v="SKU-104"/>
    <n v="3"/>
    <s v="NONE"/>
    <x v="2"/>
    <x v="2"/>
    <n v="2100000"/>
    <n v="1200000"/>
    <n v="50000"/>
    <n v="0"/>
    <n v="6300000"/>
    <n v="0"/>
    <n v="6300000"/>
    <n v="3750000"/>
    <n v="2550000"/>
    <n v="0.40476190476190477"/>
  </r>
  <r>
    <s v="TRX-0380"/>
    <x v="101"/>
    <x v="3"/>
    <s v="SKU-105"/>
    <n v="4"/>
    <s v="SUPER20"/>
    <x v="4"/>
    <x v="2"/>
    <n v="4200000"/>
    <n v="2400000"/>
    <n v="65000"/>
    <n v="0.2"/>
    <n v="16800000"/>
    <n v="3360000"/>
    <n v="13440000"/>
    <n v="9860000"/>
    <n v="3580000"/>
    <n v="0.26636904761904762"/>
  </r>
  <r>
    <s v="TRX-0381"/>
    <x v="108"/>
    <x v="0"/>
    <s v="SKU-101"/>
    <n v="3"/>
    <s v="HEMAT10"/>
    <x v="0"/>
    <x v="0"/>
    <n v="12000000"/>
    <n v="8500000"/>
    <n v="25000"/>
    <n v="0.1"/>
    <n v="36000000"/>
    <n v="3600000"/>
    <n v="32400000"/>
    <n v="25575000"/>
    <n v="6825000"/>
    <n v="0.21064814814814814"/>
  </r>
  <r>
    <s v="TRX-0382"/>
    <x v="115"/>
    <x v="1"/>
    <s v="SKU-102"/>
    <n v="5"/>
    <s v="FLASHSALE"/>
    <x v="1"/>
    <x v="1"/>
    <n v="850000"/>
    <n v="450000"/>
    <n v="35000"/>
    <n v="0.3"/>
    <n v="4250000"/>
    <n v="1275000"/>
    <n v="2975000"/>
    <n v="2425000"/>
    <n v="550000"/>
    <n v="0.18487394957983194"/>
  </r>
  <r>
    <s v="TRX-0383"/>
    <x v="122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384"/>
    <x v="129"/>
    <x v="3"/>
    <s v="SKU-104"/>
    <n v="4"/>
    <s v="SUPER20"/>
    <x v="2"/>
    <x v="2"/>
    <n v="2100000"/>
    <n v="1200000"/>
    <n v="65000"/>
    <n v="0.2"/>
    <n v="8400000"/>
    <n v="1680000"/>
    <n v="6720000"/>
    <n v="5060000"/>
    <n v="1660000"/>
    <n v="0.24702380952380953"/>
  </r>
  <r>
    <s v="TRX-0385"/>
    <x v="136"/>
    <x v="0"/>
    <s v="SKU-105"/>
    <n v="1"/>
    <s v="HEMAT10"/>
    <x v="4"/>
    <x v="2"/>
    <n v="4200000"/>
    <n v="2400000"/>
    <n v="25000"/>
    <n v="0.1"/>
    <n v="4200000"/>
    <n v="420000"/>
    <n v="3780000"/>
    <n v="2425000"/>
    <n v="1355000"/>
    <n v="0.35846560846560849"/>
  </r>
  <r>
    <s v="TRX-0386"/>
    <x v="143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387"/>
    <x v="150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388"/>
    <x v="157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389"/>
    <x v="164"/>
    <x v="0"/>
    <s v="SKU-104"/>
    <n v="5"/>
    <s v="HEMAT10"/>
    <x v="2"/>
    <x v="2"/>
    <n v="2100000"/>
    <n v="1200000"/>
    <n v="25000"/>
    <n v="0.1"/>
    <n v="10500000"/>
    <n v="1050000"/>
    <n v="9450000"/>
    <n v="6125000"/>
    <n v="3325000"/>
    <n v="0.35185185185185186"/>
  </r>
  <r>
    <s v="TRX-0390"/>
    <x v="171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391"/>
    <x v="178"/>
    <x v="2"/>
    <s v="SKU-101"/>
    <n v="1"/>
    <s v="NONE"/>
    <x v="0"/>
    <x v="0"/>
    <n v="12000000"/>
    <n v="8500000"/>
    <n v="50000"/>
    <n v="0"/>
    <n v="12000000"/>
    <n v="0"/>
    <n v="12000000"/>
    <n v="8550000"/>
    <n v="3450000"/>
    <n v="0.28749999999999998"/>
  </r>
  <r>
    <s v="TRX-0392"/>
    <x v="185"/>
    <x v="3"/>
    <s v="SKU-102"/>
    <n v="7"/>
    <s v="SUPER20"/>
    <x v="1"/>
    <x v="1"/>
    <n v="850000"/>
    <n v="450000"/>
    <n v="65000"/>
    <n v="0.2"/>
    <n v="5950000"/>
    <n v="1190000"/>
    <n v="4760000"/>
    <n v="3605000"/>
    <n v="1155000"/>
    <n v="0.24264705882352941"/>
  </r>
  <r>
    <s v="TRX-0393"/>
    <x v="192"/>
    <x v="0"/>
    <s v="SKU-103"/>
    <n v="4"/>
    <s v="HEMAT10"/>
    <x v="3"/>
    <x v="0"/>
    <n v="3400000"/>
    <n v="2100000"/>
    <n v="25000"/>
    <n v="0.1"/>
    <n v="13600000"/>
    <n v="1360000"/>
    <n v="12240000"/>
    <n v="8500000"/>
    <n v="3740000"/>
    <n v="0.30555555555555558"/>
  </r>
  <r>
    <s v="TRX-0394"/>
    <x v="199"/>
    <x v="1"/>
    <s v="SKU-104"/>
    <n v="3"/>
    <s v="FLASHSALE"/>
    <x v="2"/>
    <x v="2"/>
    <n v="2100000"/>
    <n v="1200000"/>
    <n v="35000"/>
    <n v="0.3"/>
    <n v="6300000"/>
    <n v="1890000"/>
    <n v="4410000"/>
    <n v="3705000"/>
    <n v="705000"/>
    <n v="0.1598639455782313"/>
  </r>
  <r>
    <s v="TRX-0395"/>
    <x v="206"/>
    <x v="2"/>
    <s v="SKU-105"/>
    <n v="2"/>
    <s v="NONE"/>
    <x v="4"/>
    <x v="2"/>
    <n v="4200000"/>
    <n v="2400000"/>
    <n v="50000"/>
    <n v="0"/>
    <n v="8400000"/>
    <n v="0"/>
    <n v="8400000"/>
    <n v="4900000"/>
    <n v="3500000"/>
    <n v="0.41666666666666669"/>
  </r>
  <r>
    <s v="TRX-0396"/>
    <x v="213"/>
    <x v="3"/>
    <s v="SKU-101"/>
    <n v="3"/>
    <s v="SUPER20"/>
    <x v="0"/>
    <x v="0"/>
    <n v="12000000"/>
    <n v="8500000"/>
    <n v="65000"/>
    <n v="0.2"/>
    <n v="36000000"/>
    <n v="7200000"/>
    <n v="28800000"/>
    <n v="25695000"/>
    <n v="3105000"/>
    <n v="0.10781250000000001"/>
  </r>
  <r>
    <s v="TRX-0397"/>
    <x v="220"/>
    <x v="0"/>
    <s v="SKU-102"/>
    <n v="6"/>
    <s v="HEMAT10"/>
    <x v="1"/>
    <x v="1"/>
    <n v="850000"/>
    <n v="450000"/>
    <n v="25000"/>
    <n v="0.1"/>
    <n v="5100000"/>
    <n v="510000"/>
    <n v="4590000"/>
    <n v="2850000"/>
    <n v="1740000"/>
    <n v="0.37908496732026142"/>
  </r>
  <r>
    <s v="TRX-0398"/>
    <x v="227"/>
    <x v="1"/>
    <s v="SKU-103"/>
    <n v="2"/>
    <s v="FLASHSALE"/>
    <x v="3"/>
    <x v="0"/>
    <n v="3400000"/>
    <n v="2100000"/>
    <n v="35000"/>
    <n v="0.3"/>
    <n v="6800000"/>
    <n v="2040000"/>
    <n v="4760000"/>
    <n v="4270000"/>
    <n v="490000"/>
    <n v="0.10294117647058823"/>
  </r>
  <r>
    <s v="TRX-0399"/>
    <x v="234"/>
    <x v="2"/>
    <s v="SKU-104"/>
    <n v="4"/>
    <s v="NONE"/>
    <x v="2"/>
    <x v="2"/>
    <n v="2100000"/>
    <n v="1200000"/>
    <n v="50000"/>
    <n v="0"/>
    <n v="8400000"/>
    <n v="0"/>
    <n v="8400000"/>
    <n v="5000000"/>
    <n v="3400000"/>
    <n v="0.40476190476190477"/>
  </r>
  <r>
    <s v="TRX-0400"/>
    <x v="241"/>
    <x v="3"/>
    <s v="SKU-105"/>
    <n v="1"/>
    <s v="SUPER20"/>
    <x v="4"/>
    <x v="2"/>
    <n v="4200000"/>
    <n v="2400000"/>
    <n v="65000"/>
    <n v="0.2"/>
    <n v="4200000"/>
    <n v="840000"/>
    <n v="3360000"/>
    <n v="2465000"/>
    <n v="895000"/>
    <n v="0.26636904761904762"/>
  </r>
  <r>
    <s v="TRX-0401"/>
    <x v="248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402"/>
    <x v="255"/>
    <x v="1"/>
    <s v="SKU-102"/>
    <n v="5"/>
    <s v="FLASHSALE"/>
    <x v="1"/>
    <x v="1"/>
    <n v="850000"/>
    <n v="450000"/>
    <n v="35000"/>
    <n v="0.3"/>
    <n v="4250000"/>
    <n v="1275000"/>
    <n v="2975000"/>
    <n v="2425000"/>
    <n v="550000"/>
    <n v="0.18487394957983194"/>
  </r>
  <r>
    <s v="TRX-0403"/>
    <x v="262"/>
    <x v="2"/>
    <s v="SKU-103"/>
    <n v="3"/>
    <s v="NONE"/>
    <x v="3"/>
    <x v="0"/>
    <n v="3400000"/>
    <n v="2100000"/>
    <n v="50000"/>
    <n v="0"/>
    <n v="10200000"/>
    <n v="0"/>
    <n v="10200000"/>
    <n v="6450000"/>
    <n v="3750000"/>
    <n v="0.36764705882352944"/>
  </r>
  <r>
    <s v="TRX-0404"/>
    <x v="269"/>
    <x v="3"/>
    <s v="SKU-104"/>
    <n v="2"/>
    <s v="SUPER20"/>
    <x v="2"/>
    <x v="2"/>
    <n v="2100000"/>
    <n v="1200000"/>
    <n v="65000"/>
    <n v="0.2"/>
    <n v="4200000"/>
    <n v="840000"/>
    <n v="3360000"/>
    <n v="2530000"/>
    <n v="830000"/>
    <n v="0.24702380952380953"/>
  </r>
  <r>
    <s v="TRX-0405"/>
    <x v="276"/>
    <x v="0"/>
    <s v="SKU-105"/>
    <n v="4"/>
    <s v="HEMAT10"/>
    <x v="4"/>
    <x v="2"/>
    <n v="4200000"/>
    <n v="2400000"/>
    <n v="25000"/>
    <n v="0.1"/>
    <n v="16800000"/>
    <n v="1680000"/>
    <n v="15120000"/>
    <n v="9700000"/>
    <n v="5420000"/>
    <n v="0.35846560846560849"/>
  </r>
  <r>
    <s v="TRX-0406"/>
    <x v="283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407"/>
    <x v="290"/>
    <x v="2"/>
    <s v="SKU-102"/>
    <n v="8"/>
    <s v="FLASHSALE"/>
    <x v="1"/>
    <x v="1"/>
    <n v="850000"/>
    <n v="450000"/>
    <n v="50000"/>
    <n v="0.3"/>
    <n v="6800000"/>
    <n v="2040000"/>
    <n v="4760000"/>
    <n v="4000000"/>
    <n v="760000"/>
    <n v="0.15966386554621848"/>
  </r>
  <r>
    <s v="TRX-0408"/>
    <x v="297"/>
    <x v="3"/>
    <s v="SKU-103"/>
    <n v="2"/>
    <s v="SUPER20"/>
    <x v="3"/>
    <x v="0"/>
    <n v="3400000"/>
    <n v="2100000"/>
    <n v="65000"/>
    <n v="0.2"/>
    <n v="6800000"/>
    <n v="1360000"/>
    <n v="5440000"/>
    <n v="4330000"/>
    <n v="1110000"/>
    <n v="0.20404411764705882"/>
  </r>
  <r>
    <s v="TRX-0409"/>
    <x v="304"/>
    <x v="0"/>
    <s v="SKU-104"/>
    <n v="3"/>
    <s v="HEMAT10"/>
    <x v="2"/>
    <x v="2"/>
    <n v="2100000"/>
    <n v="1200000"/>
    <n v="25000"/>
    <n v="0.1"/>
    <n v="6300000"/>
    <n v="630000"/>
    <n v="5670000"/>
    <n v="3675000"/>
    <n v="1995000"/>
    <n v="0.35185185185185186"/>
  </r>
  <r>
    <s v="TRX-0410"/>
    <x v="311"/>
    <x v="1"/>
    <s v="SKU-105"/>
    <n v="5"/>
    <s v="FLASHSALE"/>
    <x v="4"/>
    <x v="2"/>
    <n v="4200000"/>
    <n v="2400000"/>
    <n v="35000"/>
    <n v="0.3"/>
    <n v="21000000"/>
    <n v="6300000"/>
    <n v="14700000"/>
    <n v="12175000"/>
    <n v="2525000"/>
    <n v="0.17176870748299319"/>
  </r>
  <r>
    <s v="TRX-0411"/>
    <x v="318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412"/>
    <x v="325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413"/>
    <x v="332"/>
    <x v="0"/>
    <s v="SKU-103"/>
    <n v="1"/>
    <s v="HEMAT10"/>
    <x v="3"/>
    <x v="0"/>
    <n v="3400000"/>
    <n v="2100000"/>
    <n v="25000"/>
    <n v="0.1"/>
    <n v="3400000"/>
    <n v="340000"/>
    <n v="3060000"/>
    <n v="2125000"/>
    <n v="935000"/>
    <n v="0.30555555555555558"/>
  </r>
  <r>
    <s v="TRX-0414"/>
    <x v="339"/>
    <x v="1"/>
    <s v="SKU-104"/>
    <n v="4"/>
    <s v="FLASHSALE"/>
    <x v="2"/>
    <x v="2"/>
    <n v="2100000"/>
    <n v="1200000"/>
    <n v="35000"/>
    <n v="0.3"/>
    <n v="8400000"/>
    <n v="2520000"/>
    <n v="5880000"/>
    <n v="4940000"/>
    <n v="940000"/>
    <n v="0.1598639455782313"/>
  </r>
  <r>
    <s v="TRX-0415"/>
    <x v="346"/>
    <x v="2"/>
    <s v="SKU-105"/>
    <n v="3"/>
    <s v="NONE"/>
    <x v="4"/>
    <x v="2"/>
    <n v="4200000"/>
    <n v="2400000"/>
    <n v="50000"/>
    <n v="0"/>
    <n v="12600000"/>
    <n v="0"/>
    <n v="12600000"/>
    <n v="7350000"/>
    <n v="5250000"/>
    <n v="0.41666666666666669"/>
  </r>
  <r>
    <s v="TRX-0416"/>
    <x v="353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417"/>
    <x v="360"/>
    <x v="0"/>
    <s v="SKU-102"/>
    <n v="7"/>
    <s v="HEMAT10"/>
    <x v="1"/>
    <x v="1"/>
    <n v="850000"/>
    <n v="450000"/>
    <n v="25000"/>
    <n v="0.1"/>
    <n v="5950000"/>
    <n v="595000"/>
    <n v="5355000"/>
    <n v="3325000"/>
    <n v="2030000"/>
    <n v="0.37908496732026142"/>
  </r>
  <r>
    <s v="TRX-0418"/>
    <x v="6"/>
    <x v="1"/>
    <s v="SKU-103"/>
    <n v="3"/>
    <s v="FLASHSALE"/>
    <x v="3"/>
    <x v="0"/>
    <n v="3400000"/>
    <n v="2100000"/>
    <n v="35000"/>
    <n v="0.3"/>
    <n v="10200000"/>
    <n v="3060000"/>
    <n v="7140000"/>
    <n v="6405000"/>
    <n v="735000"/>
    <n v="0.10294117647058823"/>
  </r>
  <r>
    <s v="TRX-0419"/>
    <x v="13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420"/>
    <x v="20"/>
    <x v="3"/>
    <s v="SKU-105"/>
    <n v="1"/>
    <s v="SUPER20"/>
    <x v="4"/>
    <x v="2"/>
    <n v="4200000"/>
    <n v="2400000"/>
    <n v="65000"/>
    <n v="0.2"/>
    <n v="4200000"/>
    <n v="840000"/>
    <n v="3360000"/>
    <n v="2465000"/>
    <n v="895000"/>
    <n v="0.26636904761904762"/>
  </r>
  <r>
    <s v="TRX-0421"/>
    <x v="27"/>
    <x v="0"/>
    <s v="SKU-101"/>
    <n v="4"/>
    <s v="HEMAT10"/>
    <x v="0"/>
    <x v="0"/>
    <n v="12000000"/>
    <n v="8500000"/>
    <n v="25000"/>
    <n v="0.1"/>
    <n v="48000000"/>
    <n v="4800000"/>
    <n v="43200000"/>
    <n v="34100000"/>
    <n v="9100000"/>
    <n v="0.21064814814814814"/>
  </r>
  <r>
    <s v="TRX-0422"/>
    <x v="34"/>
    <x v="1"/>
    <s v="SKU-102"/>
    <n v="6"/>
    <s v="FLASHSALE"/>
    <x v="1"/>
    <x v="1"/>
    <n v="850000"/>
    <n v="450000"/>
    <n v="35000"/>
    <n v="0.3"/>
    <n v="5100000"/>
    <n v="1530000"/>
    <n v="3570000"/>
    <n v="2910000"/>
    <n v="660000"/>
    <n v="0.18487394957983194"/>
  </r>
  <r>
    <s v="TRX-0423"/>
    <x v="41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424"/>
    <x v="48"/>
    <x v="3"/>
    <s v="SKU-104"/>
    <n v="5"/>
    <s v="SUPER20"/>
    <x v="2"/>
    <x v="2"/>
    <n v="2100000"/>
    <n v="1200000"/>
    <n v="65000"/>
    <n v="0.2"/>
    <n v="10500000"/>
    <n v="2100000"/>
    <n v="8400000"/>
    <n v="6325000"/>
    <n v="2075000"/>
    <n v="0.24702380952380953"/>
  </r>
  <r>
    <s v="TRX-0425"/>
    <x v="55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426"/>
    <x v="62"/>
    <x v="1"/>
    <s v="SKU-101"/>
    <n v="1"/>
    <s v="NONE"/>
    <x v="0"/>
    <x v="0"/>
    <n v="12000000"/>
    <n v="8500000"/>
    <n v="35000"/>
    <n v="0"/>
    <n v="12000000"/>
    <n v="0"/>
    <n v="12000000"/>
    <n v="8535000"/>
    <n v="3465000"/>
    <n v="0.28875000000000001"/>
  </r>
  <r>
    <s v="TRX-0427"/>
    <x v="69"/>
    <x v="2"/>
    <s v="SKU-102"/>
    <n v="7"/>
    <s v="FLASHSALE"/>
    <x v="1"/>
    <x v="1"/>
    <n v="850000"/>
    <n v="450000"/>
    <n v="50000"/>
    <n v="0.3"/>
    <n v="5950000"/>
    <n v="1785000"/>
    <n v="4165000"/>
    <n v="3500000"/>
    <n v="665000"/>
    <n v="0.15966386554621848"/>
  </r>
  <r>
    <s v="TRX-0428"/>
    <x v="76"/>
    <x v="3"/>
    <s v="SKU-103"/>
    <n v="4"/>
    <s v="SUPER20"/>
    <x v="3"/>
    <x v="0"/>
    <n v="3400000"/>
    <n v="2100000"/>
    <n v="65000"/>
    <n v="0.2"/>
    <n v="13600000"/>
    <n v="2720000"/>
    <n v="10880000"/>
    <n v="8660000"/>
    <n v="2220000"/>
    <n v="0.20404411764705882"/>
  </r>
  <r>
    <s v="TRX-0429"/>
    <x v="83"/>
    <x v="0"/>
    <s v="SKU-104"/>
    <n v="3"/>
    <s v="HEMAT10"/>
    <x v="2"/>
    <x v="2"/>
    <n v="2100000"/>
    <n v="1200000"/>
    <n v="25000"/>
    <n v="0.1"/>
    <n v="6300000"/>
    <n v="630000"/>
    <n v="5670000"/>
    <n v="3675000"/>
    <n v="1995000"/>
    <n v="0.35185185185185186"/>
  </r>
  <r>
    <s v="TRX-0430"/>
    <x v="90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431"/>
    <x v="97"/>
    <x v="2"/>
    <s v="SKU-101"/>
    <n v="3"/>
    <s v="NONE"/>
    <x v="0"/>
    <x v="0"/>
    <n v="12000000"/>
    <n v="8500000"/>
    <n v="50000"/>
    <n v="0"/>
    <n v="36000000"/>
    <n v="0"/>
    <n v="36000000"/>
    <n v="25650000"/>
    <n v="10350000"/>
    <n v="0.28749999999999998"/>
  </r>
  <r>
    <s v="TRX-0432"/>
    <x v="104"/>
    <x v="3"/>
    <s v="SKU-102"/>
    <n v="5"/>
    <s v="SUPER20"/>
    <x v="1"/>
    <x v="1"/>
    <n v="850000"/>
    <n v="450000"/>
    <n v="65000"/>
    <n v="0.2"/>
    <n v="4250000"/>
    <n v="850000"/>
    <n v="3400000"/>
    <n v="2575000"/>
    <n v="825000"/>
    <n v="0.24264705882352941"/>
  </r>
  <r>
    <s v="TRX-0433"/>
    <x v="111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434"/>
    <x v="118"/>
    <x v="1"/>
    <s v="SKU-104"/>
    <n v="4"/>
    <s v="FLASHSALE"/>
    <x v="2"/>
    <x v="2"/>
    <n v="2100000"/>
    <n v="1200000"/>
    <n v="35000"/>
    <n v="0.3"/>
    <n v="8400000"/>
    <n v="2520000"/>
    <n v="5880000"/>
    <n v="4940000"/>
    <n v="940000"/>
    <n v="0.1598639455782313"/>
  </r>
  <r>
    <s v="TRX-0435"/>
    <x v="125"/>
    <x v="2"/>
    <s v="SKU-105"/>
    <n v="1"/>
    <s v="NONE"/>
    <x v="4"/>
    <x v="2"/>
    <n v="4200000"/>
    <n v="2400000"/>
    <n v="50000"/>
    <n v="0"/>
    <n v="4200000"/>
    <n v="0"/>
    <n v="4200000"/>
    <n v="2450000"/>
    <n v="1750000"/>
    <n v="0.41666666666666669"/>
  </r>
  <r>
    <s v="TRX-0436"/>
    <x v="132"/>
    <x v="3"/>
    <s v="SKU-101"/>
    <n v="2"/>
    <s v="SUPER20"/>
    <x v="0"/>
    <x v="0"/>
    <n v="12000000"/>
    <n v="8500000"/>
    <n v="65000"/>
    <n v="0.2"/>
    <n v="24000000"/>
    <n v="4800000"/>
    <n v="19200000"/>
    <n v="17130000"/>
    <n v="2070000"/>
    <n v="0.10781250000000001"/>
  </r>
  <r>
    <s v="TRX-0437"/>
    <x v="139"/>
    <x v="0"/>
    <s v="SKU-102"/>
    <n v="8"/>
    <s v="HEMAT10"/>
    <x v="1"/>
    <x v="1"/>
    <n v="850000"/>
    <n v="450000"/>
    <n v="25000"/>
    <n v="0.1"/>
    <n v="6800000"/>
    <n v="680000"/>
    <n v="6120000"/>
    <n v="3800000"/>
    <n v="2320000"/>
    <n v="0.37908496732026142"/>
  </r>
  <r>
    <s v="TRX-0438"/>
    <x v="146"/>
    <x v="1"/>
    <s v="SKU-103"/>
    <n v="3"/>
    <s v="FLASHSALE"/>
    <x v="3"/>
    <x v="0"/>
    <n v="3400000"/>
    <n v="2100000"/>
    <n v="35000"/>
    <n v="0.3"/>
    <n v="10200000"/>
    <n v="3060000"/>
    <n v="7140000"/>
    <n v="6405000"/>
    <n v="735000"/>
    <n v="0.10294117647058823"/>
  </r>
  <r>
    <s v="TRX-0439"/>
    <x v="153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440"/>
    <x v="160"/>
    <x v="3"/>
    <s v="SKU-105"/>
    <n v="5"/>
    <s v="SUPER20"/>
    <x v="4"/>
    <x v="2"/>
    <n v="4200000"/>
    <n v="2400000"/>
    <n v="65000"/>
    <n v="0.2"/>
    <n v="21000000"/>
    <n v="4200000"/>
    <n v="16800000"/>
    <n v="12325000"/>
    <n v="4475000"/>
    <n v="0.26636904761904762"/>
  </r>
  <r>
    <s v="TRX-0441"/>
    <x v="167"/>
    <x v="0"/>
    <s v="SKU-101"/>
    <n v="1"/>
    <s v="HEMAT10"/>
    <x v="0"/>
    <x v="0"/>
    <n v="12000000"/>
    <n v="8500000"/>
    <n v="25000"/>
    <n v="0.1"/>
    <n v="12000000"/>
    <n v="1200000"/>
    <n v="10800000"/>
    <n v="8525000"/>
    <n v="2275000"/>
    <n v="0.21064814814814814"/>
  </r>
  <r>
    <s v="TRX-0442"/>
    <x v="174"/>
    <x v="1"/>
    <s v="SKU-102"/>
    <n v="6"/>
    <s v="FLASHSALE"/>
    <x v="1"/>
    <x v="1"/>
    <n v="850000"/>
    <n v="450000"/>
    <n v="35000"/>
    <n v="0.3"/>
    <n v="5100000"/>
    <n v="1530000"/>
    <n v="3570000"/>
    <n v="2910000"/>
    <n v="660000"/>
    <n v="0.18487394957983194"/>
  </r>
  <r>
    <s v="TRX-0443"/>
    <x v="181"/>
    <x v="2"/>
    <s v="SKU-103"/>
    <n v="4"/>
    <s v="NONE"/>
    <x v="3"/>
    <x v="0"/>
    <n v="3400000"/>
    <n v="2100000"/>
    <n v="50000"/>
    <n v="0"/>
    <n v="13600000"/>
    <n v="0"/>
    <n v="13600000"/>
    <n v="8600000"/>
    <n v="5000000"/>
    <n v="0.36764705882352944"/>
  </r>
  <r>
    <s v="TRX-0444"/>
    <x v="188"/>
    <x v="3"/>
    <s v="SKU-104"/>
    <n v="2"/>
    <s v="SUPER20"/>
    <x v="2"/>
    <x v="2"/>
    <n v="2100000"/>
    <n v="1200000"/>
    <n v="65000"/>
    <n v="0.2"/>
    <n v="4200000"/>
    <n v="840000"/>
    <n v="3360000"/>
    <n v="2530000"/>
    <n v="830000"/>
    <n v="0.24702380952380953"/>
  </r>
  <r>
    <s v="TRX-0445"/>
    <x v="195"/>
    <x v="0"/>
    <s v="SKU-105"/>
    <n v="3"/>
    <s v="HEMAT10"/>
    <x v="4"/>
    <x v="2"/>
    <n v="4200000"/>
    <n v="2400000"/>
    <n v="25000"/>
    <n v="0.1"/>
    <n v="12600000"/>
    <n v="1260000"/>
    <n v="11340000"/>
    <n v="7275000"/>
    <n v="4065000"/>
    <n v="0.35846560846560849"/>
  </r>
  <r>
    <s v="TRX-0446"/>
    <x v="202"/>
    <x v="1"/>
    <s v="SKU-101"/>
    <n v="2"/>
    <s v="NONE"/>
    <x v="0"/>
    <x v="0"/>
    <n v="12000000"/>
    <n v="8500000"/>
    <n v="35000"/>
    <n v="0"/>
    <n v="24000000"/>
    <n v="0"/>
    <n v="24000000"/>
    <n v="17070000"/>
    <n v="6930000"/>
    <n v="0.28875000000000001"/>
  </r>
  <r>
    <s v="TRX-0447"/>
    <x v="209"/>
    <x v="2"/>
    <s v="SKU-102"/>
    <n v="7"/>
    <s v="FLASHSALE"/>
    <x v="1"/>
    <x v="1"/>
    <n v="850000"/>
    <n v="450000"/>
    <n v="50000"/>
    <n v="0.3"/>
    <n v="5950000"/>
    <n v="1785000"/>
    <n v="4165000"/>
    <n v="3500000"/>
    <n v="665000"/>
    <n v="0.15966386554621848"/>
  </r>
  <r>
    <s v="TRX-0448"/>
    <x v="216"/>
    <x v="3"/>
    <s v="SKU-103"/>
    <n v="1"/>
    <s v="SUPER20"/>
    <x v="3"/>
    <x v="0"/>
    <n v="3400000"/>
    <n v="2100000"/>
    <n v="65000"/>
    <n v="0.2"/>
    <n v="3400000"/>
    <n v="680000"/>
    <n v="2720000"/>
    <n v="2165000"/>
    <n v="555000"/>
    <n v="0.20404411764705882"/>
  </r>
  <r>
    <s v="TRX-0449"/>
    <x v="223"/>
    <x v="0"/>
    <s v="SKU-104"/>
    <n v="4"/>
    <s v="HEMAT10"/>
    <x v="2"/>
    <x v="2"/>
    <n v="2100000"/>
    <n v="1200000"/>
    <n v="25000"/>
    <n v="0.1"/>
    <n v="8400000"/>
    <n v="840000"/>
    <n v="7560000"/>
    <n v="4900000"/>
    <n v="2660000"/>
    <n v="0.35185185185185186"/>
  </r>
  <r>
    <s v="TRX-0450"/>
    <x v="230"/>
    <x v="1"/>
    <s v="SKU-105"/>
    <n v="2"/>
    <s v="FLASHSALE"/>
    <x v="4"/>
    <x v="2"/>
    <n v="4200000"/>
    <n v="2400000"/>
    <n v="35000"/>
    <n v="0.3"/>
    <n v="8400000"/>
    <n v="2520000"/>
    <n v="5880000"/>
    <n v="4870000"/>
    <n v="1010000"/>
    <n v="0.17176870748299319"/>
  </r>
  <r>
    <s v="TRX-0451"/>
    <x v="237"/>
    <x v="2"/>
    <s v="SKU-101"/>
    <n v="3"/>
    <s v="NONE"/>
    <x v="0"/>
    <x v="0"/>
    <n v="12000000"/>
    <n v="8500000"/>
    <n v="50000"/>
    <n v="0"/>
    <n v="36000000"/>
    <n v="0"/>
    <n v="36000000"/>
    <n v="25650000"/>
    <n v="10350000"/>
    <n v="0.28749999999999998"/>
  </r>
  <r>
    <s v="TRX-0452"/>
    <x v="244"/>
    <x v="3"/>
    <s v="SKU-102"/>
    <n v="5"/>
    <s v="SUPER20"/>
    <x v="1"/>
    <x v="1"/>
    <n v="850000"/>
    <n v="450000"/>
    <n v="65000"/>
    <n v="0.2"/>
    <n v="4250000"/>
    <n v="850000"/>
    <n v="3400000"/>
    <n v="2575000"/>
    <n v="825000"/>
    <n v="0.24264705882352941"/>
  </r>
  <r>
    <s v="TRX-0453"/>
    <x v="251"/>
    <x v="0"/>
    <s v="SKU-103"/>
    <n v="2"/>
    <s v="HEMAT10"/>
    <x v="3"/>
    <x v="0"/>
    <n v="3400000"/>
    <n v="2100000"/>
    <n v="25000"/>
    <n v="0.1"/>
    <n v="6800000"/>
    <n v="680000"/>
    <n v="6120000"/>
    <n v="4250000"/>
    <n v="1870000"/>
    <n v="0.30555555555555558"/>
  </r>
  <r>
    <s v="TRX-0454"/>
    <x v="258"/>
    <x v="1"/>
    <s v="SKU-104"/>
    <n v="6"/>
    <s v="FLASHSALE"/>
    <x v="2"/>
    <x v="2"/>
    <n v="2100000"/>
    <n v="1200000"/>
    <n v="35000"/>
    <n v="0.3"/>
    <n v="12600000"/>
    <n v="3780000"/>
    <n v="8820000"/>
    <n v="7410000"/>
    <n v="1410000"/>
    <n v="0.1598639455782313"/>
  </r>
  <r>
    <s v="TRX-0455"/>
    <x v="265"/>
    <x v="2"/>
    <s v="SKU-105"/>
    <n v="1"/>
    <s v="NONE"/>
    <x v="4"/>
    <x v="2"/>
    <n v="4200000"/>
    <n v="2400000"/>
    <n v="50000"/>
    <n v="0"/>
    <n v="4200000"/>
    <n v="0"/>
    <n v="4200000"/>
    <n v="2450000"/>
    <n v="1750000"/>
    <n v="0.41666666666666669"/>
  </r>
  <r>
    <s v="TRX-0456"/>
    <x v="272"/>
    <x v="3"/>
    <s v="SKU-101"/>
    <n v="4"/>
    <s v="SUPER20"/>
    <x v="0"/>
    <x v="0"/>
    <n v="12000000"/>
    <n v="8500000"/>
    <n v="65000"/>
    <n v="0.2"/>
    <n v="48000000"/>
    <n v="9600000"/>
    <n v="38400000"/>
    <n v="34260000"/>
    <n v="4140000"/>
    <n v="0.10781250000000001"/>
  </r>
  <r>
    <s v="TRX-0457"/>
    <x v="279"/>
    <x v="0"/>
    <s v="SKU-102"/>
    <n v="3"/>
    <s v="HEMAT10"/>
    <x v="1"/>
    <x v="1"/>
    <n v="850000"/>
    <n v="450000"/>
    <n v="25000"/>
    <n v="0.1"/>
    <n v="2550000"/>
    <n v="255000"/>
    <n v="2295000"/>
    <n v="1425000"/>
    <n v="870000"/>
    <n v="0.37908496732026142"/>
  </r>
  <r>
    <s v="TRX-0458"/>
    <x v="286"/>
    <x v="1"/>
    <s v="SKU-103"/>
    <n v="5"/>
    <s v="FLASHSALE"/>
    <x v="3"/>
    <x v="0"/>
    <n v="3400000"/>
    <n v="2100000"/>
    <n v="35000"/>
    <n v="0.3"/>
    <n v="17000000"/>
    <n v="5100000"/>
    <n v="11900000"/>
    <n v="10675000"/>
    <n v="1225000"/>
    <n v="0.10294117647058823"/>
  </r>
  <r>
    <s v="TRX-0459"/>
    <x v="293"/>
    <x v="2"/>
    <s v="SKU-104"/>
    <n v="2"/>
    <s v="NONE"/>
    <x v="2"/>
    <x v="2"/>
    <n v="2100000"/>
    <n v="1200000"/>
    <n v="50000"/>
    <n v="0"/>
    <n v="4200000"/>
    <n v="0"/>
    <n v="4200000"/>
    <n v="2500000"/>
    <n v="1700000"/>
    <n v="0.40476190476190477"/>
  </r>
  <r>
    <s v="TRX-0460"/>
    <x v="300"/>
    <x v="3"/>
    <s v="SKU-105"/>
    <n v="3"/>
    <s v="SUPER20"/>
    <x v="4"/>
    <x v="2"/>
    <n v="4200000"/>
    <n v="2400000"/>
    <n v="65000"/>
    <n v="0.2"/>
    <n v="12600000"/>
    <n v="2520000"/>
    <n v="10080000"/>
    <n v="7395000"/>
    <n v="2685000"/>
    <n v="0.26636904761904762"/>
  </r>
  <r>
    <s v="TRX-0461"/>
    <x v="307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462"/>
    <x v="314"/>
    <x v="1"/>
    <s v="SKU-102"/>
    <n v="7"/>
    <s v="FLASHSALE"/>
    <x v="1"/>
    <x v="1"/>
    <n v="850000"/>
    <n v="450000"/>
    <n v="35000"/>
    <n v="0.3"/>
    <n v="5950000"/>
    <n v="1785000"/>
    <n v="4165000"/>
    <n v="3395000"/>
    <n v="770000"/>
    <n v="0.18487394957983194"/>
  </r>
  <r>
    <s v="TRX-0463"/>
    <x v="321"/>
    <x v="2"/>
    <s v="SKU-103"/>
    <n v="4"/>
    <s v="NONE"/>
    <x v="3"/>
    <x v="0"/>
    <n v="3400000"/>
    <n v="2100000"/>
    <n v="50000"/>
    <n v="0"/>
    <n v="13600000"/>
    <n v="0"/>
    <n v="13600000"/>
    <n v="8600000"/>
    <n v="5000000"/>
    <n v="0.36764705882352944"/>
  </r>
  <r>
    <s v="TRX-0464"/>
    <x v="328"/>
    <x v="3"/>
    <s v="SKU-104"/>
    <n v="1"/>
    <s v="SUPER20"/>
    <x v="2"/>
    <x v="2"/>
    <n v="2100000"/>
    <n v="1200000"/>
    <n v="65000"/>
    <n v="0.2"/>
    <n v="2100000"/>
    <n v="420000"/>
    <n v="1680000"/>
    <n v="1265000"/>
    <n v="415000"/>
    <n v="0.24702380952380953"/>
  </r>
  <r>
    <s v="TRX-0465"/>
    <x v="335"/>
    <x v="0"/>
    <s v="SKU-105"/>
    <n v="2"/>
    <s v="HEMAT10"/>
    <x v="4"/>
    <x v="2"/>
    <n v="4200000"/>
    <n v="2400000"/>
    <n v="25000"/>
    <n v="0.1"/>
    <n v="8400000"/>
    <n v="840000"/>
    <n v="7560000"/>
    <n v="4850000"/>
    <n v="2710000"/>
    <n v="0.35846560846560849"/>
  </r>
  <r>
    <s v="TRX-0466"/>
    <x v="342"/>
    <x v="1"/>
    <s v="SKU-101"/>
    <n v="3"/>
    <s v="NONE"/>
    <x v="0"/>
    <x v="0"/>
    <n v="12000000"/>
    <n v="8500000"/>
    <n v="35000"/>
    <n v="0"/>
    <n v="36000000"/>
    <n v="0"/>
    <n v="36000000"/>
    <n v="25605000"/>
    <n v="10395000"/>
    <n v="0.28875000000000001"/>
  </r>
  <r>
    <s v="TRX-0467"/>
    <x v="349"/>
    <x v="2"/>
    <s v="SKU-102"/>
    <n v="8"/>
    <s v="FLASHSALE"/>
    <x v="1"/>
    <x v="1"/>
    <n v="850000"/>
    <n v="450000"/>
    <n v="50000"/>
    <n v="0.3"/>
    <n v="6800000"/>
    <n v="2040000"/>
    <n v="4760000"/>
    <n v="4000000"/>
    <n v="760000"/>
    <n v="0.15966386554621848"/>
  </r>
  <r>
    <s v="TRX-0468"/>
    <x v="356"/>
    <x v="3"/>
    <s v="SKU-103"/>
    <n v="2"/>
    <s v="SUPER20"/>
    <x v="3"/>
    <x v="0"/>
    <n v="3400000"/>
    <n v="2100000"/>
    <n v="65000"/>
    <n v="0.2"/>
    <n v="6800000"/>
    <n v="1360000"/>
    <n v="5440000"/>
    <n v="4330000"/>
    <n v="1110000"/>
    <n v="0.20404411764705882"/>
  </r>
  <r>
    <s v="TRX-0469"/>
    <x v="363"/>
    <x v="0"/>
    <s v="SKU-104"/>
    <n v="5"/>
    <s v="HEMAT10"/>
    <x v="2"/>
    <x v="2"/>
    <n v="2100000"/>
    <n v="1200000"/>
    <n v="25000"/>
    <n v="0.1"/>
    <n v="10500000"/>
    <n v="1050000"/>
    <n v="9450000"/>
    <n v="6125000"/>
    <n v="3325000"/>
    <n v="0.35185185185185186"/>
  </r>
  <r>
    <s v="TRX-0470"/>
    <x v="8"/>
    <x v="1"/>
    <s v="SKU-105"/>
    <n v="1"/>
    <s v="FLASHSALE"/>
    <x v="4"/>
    <x v="2"/>
    <n v="4200000"/>
    <n v="2400000"/>
    <n v="35000"/>
    <n v="0.3"/>
    <n v="4200000"/>
    <n v="1260000"/>
    <n v="2940000"/>
    <n v="2435000"/>
    <n v="505000"/>
    <n v="0.17176870748299319"/>
  </r>
  <r>
    <s v="TRX-0471"/>
    <x v="22"/>
    <x v="2"/>
    <s v="SKU-101"/>
    <n v="2"/>
    <s v="NONE"/>
    <x v="0"/>
    <x v="0"/>
    <n v="12000000"/>
    <n v="8500000"/>
    <n v="50000"/>
    <n v="0"/>
    <n v="24000000"/>
    <n v="0"/>
    <n v="24000000"/>
    <n v="17100000"/>
    <n v="6900000"/>
    <n v="0.28749999999999998"/>
  </r>
  <r>
    <s v="TRX-0472"/>
    <x v="36"/>
    <x v="3"/>
    <s v="SKU-102"/>
    <n v="6"/>
    <s v="SUPER20"/>
    <x v="1"/>
    <x v="1"/>
    <n v="850000"/>
    <n v="450000"/>
    <n v="65000"/>
    <n v="0.2"/>
    <n v="5100000"/>
    <n v="1020000"/>
    <n v="4080000"/>
    <n v="3090000"/>
    <n v="990000"/>
    <n v="0.24264705882352941"/>
  </r>
  <r>
    <s v="TRX-0473"/>
    <x v="50"/>
    <x v="0"/>
    <s v="SKU-103"/>
    <n v="3"/>
    <s v="HEMAT10"/>
    <x v="3"/>
    <x v="0"/>
    <n v="3400000"/>
    <n v="2100000"/>
    <n v="25000"/>
    <n v="0.1"/>
    <n v="10200000"/>
    <n v="1020000"/>
    <n v="9180000"/>
    <n v="6375000"/>
    <n v="2805000"/>
    <n v="0.30555555555555558"/>
  </r>
  <r>
    <s v="TRX-0474"/>
    <x v="64"/>
    <x v="1"/>
    <s v="SKU-104"/>
    <n v="4"/>
    <s v="FLASHSALE"/>
    <x v="2"/>
    <x v="2"/>
    <n v="2100000"/>
    <n v="1200000"/>
    <n v="35000"/>
    <n v="0.3"/>
    <n v="8400000"/>
    <n v="2520000"/>
    <n v="5880000"/>
    <n v="4940000"/>
    <n v="940000"/>
    <n v="0.1598639455782313"/>
  </r>
  <r>
    <s v="TRX-0475"/>
    <x v="78"/>
    <x v="2"/>
    <s v="SKU-105"/>
    <n v="2"/>
    <s v="NONE"/>
    <x v="4"/>
    <x v="2"/>
    <n v="4200000"/>
    <n v="2400000"/>
    <n v="50000"/>
    <n v="0"/>
    <n v="8400000"/>
    <n v="0"/>
    <n v="8400000"/>
    <n v="4900000"/>
    <n v="3500000"/>
    <n v="0.41666666666666669"/>
  </r>
  <r>
    <s v="TRX-0476"/>
    <x v="92"/>
    <x v="3"/>
    <s v="SKU-101"/>
    <n v="3"/>
    <s v="SUPER20"/>
    <x v="0"/>
    <x v="0"/>
    <n v="12000000"/>
    <n v="8500000"/>
    <n v="65000"/>
    <n v="0.2"/>
    <n v="36000000"/>
    <n v="7200000"/>
    <n v="28800000"/>
    <n v="25695000"/>
    <n v="3105000"/>
    <n v="0.10781250000000001"/>
  </r>
  <r>
    <s v="TRX-0477"/>
    <x v="106"/>
    <x v="0"/>
    <s v="SKU-102"/>
    <n v="5"/>
    <s v="HEMAT10"/>
    <x v="1"/>
    <x v="1"/>
    <n v="850000"/>
    <n v="450000"/>
    <n v="25000"/>
    <n v="0.1"/>
    <n v="4250000"/>
    <n v="425000"/>
    <n v="3825000"/>
    <n v="2375000"/>
    <n v="1450000"/>
    <n v="0.37908496732026142"/>
  </r>
  <r>
    <s v="TRX-0478"/>
    <x v="120"/>
    <x v="1"/>
    <s v="SKU-103"/>
    <n v="1"/>
    <s v="FLASHSALE"/>
    <x v="3"/>
    <x v="0"/>
    <n v="3400000"/>
    <n v="2100000"/>
    <n v="35000"/>
    <n v="0.3"/>
    <n v="3400000"/>
    <n v="1020000"/>
    <n v="2380000"/>
    <n v="2135000"/>
    <n v="245000"/>
    <n v="0.10294117647058823"/>
  </r>
  <r>
    <s v="TRX-0479"/>
    <x v="134"/>
    <x v="2"/>
    <s v="SKU-104"/>
    <n v="3"/>
    <s v="NONE"/>
    <x v="2"/>
    <x v="2"/>
    <n v="2100000"/>
    <n v="1200000"/>
    <n v="50000"/>
    <n v="0"/>
    <n v="6300000"/>
    <n v="0"/>
    <n v="6300000"/>
    <n v="3750000"/>
    <n v="2550000"/>
    <n v="0.40476190476190477"/>
  </r>
  <r>
    <s v="TRX-0480"/>
    <x v="148"/>
    <x v="3"/>
    <s v="SKU-105"/>
    <n v="4"/>
    <s v="SUPER20"/>
    <x v="4"/>
    <x v="2"/>
    <n v="4200000"/>
    <n v="2400000"/>
    <n v="65000"/>
    <n v="0.2"/>
    <n v="16800000"/>
    <n v="3360000"/>
    <n v="13440000"/>
    <n v="9860000"/>
    <n v="3580000"/>
    <n v="0.26636904761904762"/>
  </r>
  <r>
    <s v="TRX-0481"/>
    <x v="162"/>
    <x v="0"/>
    <s v="SKU-101"/>
    <n v="2"/>
    <s v="HEMAT10"/>
    <x v="0"/>
    <x v="0"/>
    <n v="12000000"/>
    <n v="8500000"/>
    <n v="25000"/>
    <n v="0.1"/>
    <n v="24000000"/>
    <n v="2400000"/>
    <n v="21600000"/>
    <n v="17050000"/>
    <n v="4550000"/>
    <n v="0.21064814814814814"/>
  </r>
  <r>
    <s v="TRX-0482"/>
    <x v="176"/>
    <x v="1"/>
    <s v="SKU-102"/>
    <n v="7"/>
    <s v="FLASHSALE"/>
    <x v="1"/>
    <x v="1"/>
    <n v="850000"/>
    <n v="450000"/>
    <n v="35000"/>
    <n v="0.3"/>
    <n v="5950000"/>
    <n v="1785000"/>
    <n v="4165000"/>
    <n v="3395000"/>
    <n v="770000"/>
    <n v="0.18487394957983194"/>
  </r>
  <r>
    <s v="TRX-0483"/>
    <x v="190"/>
    <x v="2"/>
    <s v="SKU-103"/>
    <n v="2"/>
    <s v="NONE"/>
    <x v="3"/>
    <x v="0"/>
    <n v="3400000"/>
    <n v="2100000"/>
    <n v="50000"/>
    <n v="0"/>
    <n v="6800000"/>
    <n v="0"/>
    <n v="6800000"/>
    <n v="4300000"/>
    <n v="2500000"/>
    <n v="0.36764705882352944"/>
  </r>
  <r>
    <s v="TRX-0484"/>
    <x v="204"/>
    <x v="3"/>
    <s v="SKU-104"/>
    <n v="5"/>
    <s v="SUPER20"/>
    <x v="2"/>
    <x v="2"/>
    <n v="2100000"/>
    <n v="1200000"/>
    <n v="65000"/>
    <n v="0.2"/>
    <n v="10500000"/>
    <n v="2100000"/>
    <n v="8400000"/>
    <n v="6325000"/>
    <n v="2075000"/>
    <n v="0.24702380952380953"/>
  </r>
  <r>
    <s v="TRX-0485"/>
    <x v="218"/>
    <x v="0"/>
    <s v="SKU-105"/>
    <n v="1"/>
    <s v="HEMAT10"/>
    <x v="4"/>
    <x v="2"/>
    <n v="4200000"/>
    <n v="2400000"/>
    <n v="25000"/>
    <n v="0.1"/>
    <n v="4200000"/>
    <n v="420000"/>
    <n v="3780000"/>
    <n v="2425000"/>
    <n v="1355000"/>
    <n v="0.35846560846560849"/>
  </r>
  <r>
    <s v="TRX-0486"/>
    <x v="232"/>
    <x v="1"/>
    <s v="SKU-101"/>
    <n v="4"/>
    <s v="NONE"/>
    <x v="0"/>
    <x v="0"/>
    <n v="12000000"/>
    <n v="8500000"/>
    <n v="35000"/>
    <n v="0"/>
    <n v="48000000"/>
    <n v="0"/>
    <n v="48000000"/>
    <n v="34140000"/>
    <n v="13860000"/>
    <n v="0.28875000000000001"/>
  </r>
  <r>
    <s v="TRX-0487"/>
    <x v="246"/>
    <x v="2"/>
    <s v="SKU-102"/>
    <n v="6"/>
    <s v="FLASHSALE"/>
    <x v="1"/>
    <x v="1"/>
    <n v="850000"/>
    <n v="450000"/>
    <n v="50000"/>
    <n v="0.3"/>
    <n v="5100000"/>
    <n v="1530000"/>
    <n v="3570000"/>
    <n v="3000000"/>
    <n v="570000"/>
    <n v="0.15966386554621848"/>
  </r>
  <r>
    <s v="TRX-0488"/>
    <x v="260"/>
    <x v="3"/>
    <s v="SKU-103"/>
    <n v="3"/>
    <s v="SUPER20"/>
    <x v="3"/>
    <x v="0"/>
    <n v="3400000"/>
    <n v="2100000"/>
    <n v="65000"/>
    <n v="0.2"/>
    <n v="10200000"/>
    <n v="2040000"/>
    <n v="8160000"/>
    <n v="6495000"/>
    <n v="1665000"/>
    <n v="0.20404411764705882"/>
  </r>
  <r>
    <s v="TRX-0489"/>
    <x v="274"/>
    <x v="0"/>
    <s v="SKU-104"/>
    <n v="2"/>
    <s v="HEMAT10"/>
    <x v="2"/>
    <x v="2"/>
    <n v="2100000"/>
    <n v="1200000"/>
    <n v="25000"/>
    <n v="0.1"/>
    <n v="4200000"/>
    <n v="420000"/>
    <n v="3780000"/>
    <n v="2450000"/>
    <n v="1330000"/>
    <n v="0.35185185185185186"/>
  </r>
  <r>
    <s v="TRX-0490"/>
    <x v="288"/>
    <x v="1"/>
    <s v="SKU-105"/>
    <n v="3"/>
    <s v="FLASHSALE"/>
    <x v="4"/>
    <x v="2"/>
    <n v="4200000"/>
    <n v="2400000"/>
    <n v="35000"/>
    <n v="0.3"/>
    <n v="12600000"/>
    <n v="3780000"/>
    <n v="8820000"/>
    <n v="7305000"/>
    <n v="1515000"/>
    <n v="0.17176870748299319"/>
  </r>
  <r>
    <s v="TRX-0491"/>
    <x v="302"/>
    <x v="2"/>
    <s v="SKU-101"/>
    <n v="1"/>
    <s v="NONE"/>
    <x v="0"/>
    <x v="0"/>
    <n v="12000000"/>
    <n v="8500000"/>
    <n v="50000"/>
    <n v="0"/>
    <n v="12000000"/>
    <n v="0"/>
    <n v="12000000"/>
    <n v="8550000"/>
    <n v="3450000"/>
    <n v="0.28749999999999998"/>
  </r>
  <r>
    <s v="TRX-0492"/>
    <x v="316"/>
    <x v="3"/>
    <s v="SKU-102"/>
    <n v="8"/>
    <s v="SUPER20"/>
    <x v="1"/>
    <x v="1"/>
    <n v="850000"/>
    <n v="450000"/>
    <n v="65000"/>
    <n v="0.2"/>
    <n v="6800000"/>
    <n v="1360000"/>
    <n v="5440000"/>
    <n v="4120000"/>
    <n v="1320000"/>
    <n v="0.24264705882352941"/>
  </r>
  <r>
    <s v="TRX-0493"/>
    <x v="330"/>
    <x v="0"/>
    <s v="SKU-103"/>
    <n v="4"/>
    <s v="HEMAT10"/>
    <x v="3"/>
    <x v="0"/>
    <n v="3400000"/>
    <n v="2100000"/>
    <n v="25000"/>
    <n v="0.1"/>
    <n v="13600000"/>
    <n v="1360000"/>
    <n v="12240000"/>
    <n v="8500000"/>
    <n v="3740000"/>
    <n v="0.30555555555555558"/>
  </r>
  <r>
    <s v="TRX-0494"/>
    <x v="344"/>
    <x v="1"/>
    <s v="SKU-104"/>
    <n v="2"/>
    <s v="FLASHSALE"/>
    <x v="2"/>
    <x v="2"/>
    <n v="2100000"/>
    <n v="1200000"/>
    <n v="35000"/>
    <n v="0.3"/>
    <n v="4200000"/>
    <n v="1260000"/>
    <n v="2940000"/>
    <n v="2470000"/>
    <n v="470000"/>
    <n v="0.1598639455782313"/>
  </r>
  <r>
    <s v="TRX-0495"/>
    <x v="358"/>
    <x v="2"/>
    <s v="SKU-105"/>
    <n v="5"/>
    <s v="NONE"/>
    <x v="4"/>
    <x v="2"/>
    <n v="4200000"/>
    <n v="2400000"/>
    <n v="50000"/>
    <n v="0"/>
    <n v="21000000"/>
    <n v="0"/>
    <n v="21000000"/>
    <n v="12250000"/>
    <n v="8750000"/>
    <n v="0.41666666666666669"/>
  </r>
  <r>
    <s v="TRX-0496"/>
    <x v="179"/>
    <x v="3"/>
    <s v="SKU-101"/>
    <n v="3"/>
    <s v="SUPER20"/>
    <x v="0"/>
    <x v="0"/>
    <n v="12000000"/>
    <n v="8500000"/>
    <n v="65000"/>
    <n v="0.2"/>
    <n v="36000000"/>
    <n v="7200000"/>
    <n v="28800000"/>
    <n v="25695000"/>
    <n v="3105000"/>
    <n v="0.10781250000000001"/>
  </r>
  <r>
    <s v="TRX-0497"/>
    <x v="194"/>
    <x v="0"/>
    <s v="SKU-102"/>
    <n v="4"/>
    <s v="HEMAT10"/>
    <x v="1"/>
    <x v="1"/>
    <n v="850000"/>
    <n v="450000"/>
    <n v="25000"/>
    <n v="0.1"/>
    <n v="3400000"/>
    <n v="340000"/>
    <n v="3060000"/>
    <n v="1900000"/>
    <n v="1160000"/>
    <n v="0.37908496732026142"/>
  </r>
  <r>
    <s v="TRX-0498"/>
    <x v="225"/>
    <x v="1"/>
    <s v="SKU-103"/>
    <n v="2"/>
    <s v="FLASHSALE"/>
    <x v="3"/>
    <x v="0"/>
    <n v="3400000"/>
    <n v="2100000"/>
    <n v="35000"/>
    <n v="0.3"/>
    <n v="6800000"/>
    <n v="2040000"/>
    <n v="4760000"/>
    <n v="4270000"/>
    <n v="490000"/>
    <n v="0.10294117647058823"/>
  </r>
  <r>
    <s v="TRX-0499"/>
    <x v="256"/>
    <x v="2"/>
    <s v="SKU-104"/>
    <n v="3"/>
    <s v="NONE"/>
    <x v="2"/>
    <x v="2"/>
    <n v="2100000"/>
    <n v="1200000"/>
    <n v="50000"/>
    <n v="0"/>
    <n v="6300000"/>
    <n v="0"/>
    <n v="6300000"/>
    <n v="3750000"/>
    <n v="2550000"/>
    <n v="0.40476190476190477"/>
  </r>
  <r>
    <s v="TRX-0500"/>
    <x v="286"/>
    <x v="3"/>
    <s v="SKU-105"/>
    <n v="2"/>
    <s v="SUPER20"/>
    <x v="4"/>
    <x v="2"/>
    <n v="4200000"/>
    <n v="2400000"/>
    <n v="65000"/>
    <n v="0.2"/>
    <n v="8400000"/>
    <n v="1680000"/>
    <n v="6720000"/>
    <n v="4930000"/>
    <n v="1790000"/>
    <n v="0.266369047619047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B21EAE-34C8-4902-A826-4942B23E8318}" name="PivotTable4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I3:J8" firstHeaderRow="1" firstDataRow="1" firstDataCol="1"/>
  <pivotFields count="20">
    <pivotField compact="0" outline="0" showAll="0" defaultSubtotal="0"/>
    <pivotField compact="0" numFmtId="164" outline="0" showAll="0" defaultSubtotal="0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</pivotField>
    <pivotField compact="0" outline="0" showAll="0" defaultSubtotal="0">
      <items count="4">
        <item x="0"/>
        <item x="3"/>
        <item x="2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measureFilter="1" sortType="descending" defaultSubtotal="0">
      <items count="5">
        <item x="2"/>
        <item x="0"/>
        <item x="1"/>
        <item x="4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">
        <item x="1"/>
        <item x="0"/>
        <item x="2"/>
      </items>
    </pivotField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6" outline="0" showAll="0" defaultSubtotal="0"/>
    <pivotField compact="0" numFmtId="165" outline="0" showAll="0" defaultSubtotal="0"/>
    <pivotField compact="0" numFmtId="165" outline="0" showAll="0" defaultSubtotal="0"/>
    <pivotField dataField="1"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ubtotalTop="0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6"/>
  </rowFields>
  <rowItems count="5">
    <i>
      <x v="1"/>
    </i>
    <i>
      <x v="3"/>
    </i>
    <i>
      <x v="4"/>
    </i>
    <i>
      <x/>
    </i>
    <i>
      <x v="2"/>
    </i>
  </rowItems>
  <colItems count="1">
    <i/>
  </colItems>
  <dataFields count="1">
    <dataField name="Sum of Total_Pendapatan_Bersih" fld="14" baseField="0" baseItem="0" numFmtId="165"/>
  </dataField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713F1-3E17-453F-AB30-F21366BFC2CA}" name="PivotTable3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F3:G15" firstHeaderRow="1" firstDataRow="1" firstDataCol="1"/>
  <pivotFields count="20">
    <pivotField compact="0" outline="0" showAll="0" defaultSubtotal="0"/>
    <pivotField compact="0" numFmtId="164" outline="0" showAll="0" defaultSubtotal="0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</pivotField>
    <pivotField compact="0" outline="0" showAll="0" defaultSubtotal="0">
      <items count="4">
        <item x="0"/>
        <item x="3"/>
        <item x="2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3">
        <item x="1"/>
        <item x="0"/>
        <item x="2"/>
      </items>
    </pivotField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6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dataField="1" compact="0" numFmtId="165" outline="0" showAll="0" defaultSubtotal="0"/>
    <pivotField compact="0" outline="0" showAll="0" defaultSubtotal="0"/>
    <pivotField compact="0" outline="0" subtotalTop="0" showAll="0" defaultSubtotal="0">
      <items count="36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</items>
    </pivotField>
    <pivotField axis="axisRow"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9"/>
  </rowFields>
  <row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Sum of Laba_Kotor" fld="16" showDataAs="difference" baseField="19" baseItem="1048828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554939-956D-4BE9-A88C-42E3B53823EE}" name="analisis" cacheId="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D15" firstHeaderRow="0" firstDataRow="1" firstDataCol="2"/>
  <pivotFields count="20">
    <pivotField compact="0" outline="0" showAll="0" defaultSubtotal="0"/>
    <pivotField compact="0" numFmtId="164" outline="0" showAll="0" defaultSubtotal="0">
      <items count="3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</items>
    </pivotField>
    <pivotField axis="axisRow" compact="0" outline="0" showAll="0" defaultSubtotal="0">
      <items count="4">
        <item x="0"/>
        <item x="3"/>
        <item x="2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1"/>
        <item x="0"/>
        <item x="2"/>
      </items>
    </pivotField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6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compact="0" numFmtId="165" outline="0" showAll="0" defaultSubtotal="0"/>
    <pivotField dataField="1" compact="0" numFmtId="165" outline="0" showAll="0" defaultSubtotal="0"/>
    <pivotField dataField="1" compact="0" outline="0" showAll="0" defaultSubtotal="0"/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2">
    <field x="2"/>
    <field x="7"/>
  </rowFields>
  <rowItems count="1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</rowItems>
  <colFields count="1">
    <field x="-2"/>
  </colFields>
  <colItems count="2">
    <i>
      <x/>
    </i>
    <i i="1">
      <x v="1"/>
    </i>
  </colItems>
  <dataFields count="2">
    <dataField name="Sum of Laba_Kotor" fld="16" baseField="0" baseItem="0" numFmtId="165"/>
    <dataField name="Sum of Margin_Keuntungan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63E51-A52D-46AB-91EB-CF63578A5333}" name="Table1" displayName="Table1" ref="A1:R501" totalsRowShown="0" headerRowDxfId="53" dataDxfId="51" headerRowBorderDxfId="52" tableBorderDxfId="50" totalsRowBorderDxfId="49">
  <autoFilter ref="A1:R501" xr:uid="{91C63E51-A52D-46AB-91EB-CF63578A5333}"/>
  <tableColumns count="18">
    <tableColumn id="1" xr3:uid="{535352A0-284A-4EC3-BEA5-FCAC4589AD45}" name="ID_Transaksi" dataDxfId="48"/>
    <tableColumn id="2" xr3:uid="{60F5C6B6-2EE4-4C37-834D-803292CD8C49}" name="Tanggal" dataDxfId="47"/>
    <tableColumn id="3" xr3:uid="{E56A6511-4721-46F1-A464-627EE6ED25E5}" name="Kota" dataDxfId="46"/>
    <tableColumn id="4" xr3:uid="{D6C78C85-4803-494C-B4E3-8459D877E28E}" name="SKU" dataDxfId="45"/>
    <tableColumn id="5" xr3:uid="{0C6A6903-F5CE-4107-9FDE-CC53F5F04204}" name="Jumlah_Unit" dataDxfId="44"/>
    <tableColumn id="6" xr3:uid="{048E2C98-E916-4C7C-AA4A-3150159A27E8}" name="Kode_Promo" dataDxfId="43"/>
    <tableColumn id="7" xr3:uid="{3B8F5B69-10F0-4AEE-8CCF-65814EF6B3D8}" name="Nama_Produk" dataDxfId="42">
      <calculatedColumnFormula>INDEX(Table2[Nama Produk],MATCH(Table1[[#This Row],[SKU]],Table2[SKU],0))</calculatedColumnFormula>
    </tableColumn>
    <tableColumn id="8" xr3:uid="{735DE14D-F3A8-4241-B953-035F6E26A6A0}" name="Kategori" dataDxfId="41">
      <calculatedColumnFormula>VLOOKUP(Table1[[#This Row],[SKU]],Table2[],3,FALSE)</calculatedColumnFormula>
    </tableColumn>
    <tableColumn id="9" xr3:uid="{ECD5AF4E-B3F4-41BB-B37B-443DEE5B7141}" name="Harga_Satuan" dataDxfId="40">
      <calculatedColumnFormula>INDEX(Table2[Harga Jual],MATCH(Table1[[#This Row],[SKU]],Table2[SKU],0))</calculatedColumnFormula>
    </tableColumn>
    <tableColumn id="10" xr3:uid="{C465DBB9-4C64-4E93-9532-CB6D42B2E695}" name="HPP_Satuan" dataDxfId="39">
      <calculatedColumnFormula>VLOOKUP(Table1[[#This Row],[SKU]],Table2[],4,FALSE)</calculatedColumnFormula>
    </tableColumn>
    <tableColumn id="11" xr3:uid="{FBA65091-B8F3-4737-AD43-21E2351C753A}" name="Biaya_Kirim_Satuan" dataDxfId="38">
      <calculatedColumnFormula>INDEX(Table3[Biaya Kirim per Unit],MATCH(Table1[[#This Row],[Kota]],Table3[Kota],))</calculatedColumnFormula>
    </tableColumn>
    <tableColumn id="12" xr3:uid="{236D1E61-E310-4595-8E7E-18D3E9DD1768}" name="Persentase_Diskon" dataDxfId="37" dataCellStyle="Percent">
      <calculatedColumnFormula>VLOOKUP(Table1[[#This Row],[Kode_Promo]],Table4[],2,FALSE)</calculatedColumnFormula>
    </tableColumn>
    <tableColumn id="13" xr3:uid="{CA31B10C-74E5-409B-A9BB-69CF31F44850}" name="Total_Pendapatan_Kotor" dataDxfId="5">
      <calculatedColumnFormula>Table1[[#This Row],[Jumlah_Unit]]*Table1[[#This Row],[Harga_Satuan]]</calculatedColumnFormula>
    </tableColumn>
    <tableColumn id="14" xr3:uid="{3AE5F5BA-9CCD-4247-B4FB-CBB68DB0342F}" name="Potongan_Diskon" dataDxfId="4">
      <calculatedColumnFormula>Table1[[#This Row],[Total_Pendapatan_Kotor]]*Table1[[#This Row],[Persentase_Diskon]]</calculatedColumnFormula>
    </tableColumn>
    <tableColumn id="15" xr3:uid="{83ED65EB-9A6F-4F9C-A403-5E4DEC52A650}" name="Total_Pendapatan_Bersih" dataDxfId="3">
      <calculatedColumnFormula>Table1[[#This Row],[Total_Pendapatan_Kotor]]-Table1[[#This Row],[Potongan_Diskon]]</calculatedColumnFormula>
    </tableColumn>
    <tableColumn id="16" xr3:uid="{C66B6AE0-9825-4E7F-9199-125CC56ED9A7}" name="Total_Biaya" dataDxfId="2">
      <calculatedColumnFormula>(Table1[[#This Row],[Jumlah_Unit]]*Table1[[#This Row],[HPP_Satuan]])+(Table1[[#This Row],[Jumlah_Unit]]*Table1[[#This Row],[Biaya_Kirim_Satuan]])</calculatedColumnFormula>
    </tableColumn>
    <tableColumn id="17" xr3:uid="{8448139B-E35F-403D-88B7-2B81687ED76E}" name="Laba_Kotor" dataDxfId="1">
      <calculatedColumnFormula>Table1[[#This Row],[Total_Pendapatan_Bersih]]-Table1[[#This Row],[Total_Biaya]]</calculatedColumnFormula>
    </tableColumn>
    <tableColumn id="18" xr3:uid="{19F6E599-1DA2-4A17-B20A-85FAA9CAA88F}" name="Margin_Keuntungan" dataDxfId="0">
      <calculatedColumnFormula>Table1[[#This Row],[Laba_Kotor]]/Table1[[#This Row],[Total_Pendapatan_Bersih]]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D45560-B6D3-41C6-AE2A-F8AD6BBACE68}" name="Table2" displayName="Table2" ref="A1:E6" totalsRowShown="0" headerRowDxfId="36" headerRowBorderDxfId="35" tableBorderDxfId="34" totalsRowBorderDxfId="33">
  <autoFilter ref="A1:E6" xr:uid="{FDD45560-B6D3-41C6-AE2A-F8AD6BBACE68}"/>
  <tableColumns count="5">
    <tableColumn id="1" xr3:uid="{8EB14854-7AF6-49A4-88AA-B3FDDCC42382}" name="SKU" dataDxfId="32"/>
    <tableColumn id="2" xr3:uid="{5D2A612D-0698-4443-8219-30640E779857}" name="Nama Produk" dataDxfId="31"/>
    <tableColumn id="3" xr3:uid="{A6103524-5795-4C97-B3D5-365566612506}" name="Kategori" dataDxfId="30"/>
    <tableColumn id="4" xr3:uid="{E99EBFAC-0288-49E8-A2CE-BA8095F96A66}" name="HPP" dataDxfId="29"/>
    <tableColumn id="5" xr3:uid="{3D2D3651-2CAB-4DFC-ABF1-674CCD068115}" name="Harga Jual" dataDxfId="28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F71EA0-F0EC-4DFE-A2AB-43A6531E908A}" name="Table3" displayName="Table3" ref="A1:C5" totalsRowShown="0" headerRowBorderDxfId="27" tableBorderDxfId="26" totalsRowBorderDxfId="25">
  <autoFilter ref="A1:C5" xr:uid="{10F71EA0-F0EC-4DFE-A2AB-43A6531E908A}"/>
  <tableColumns count="3">
    <tableColumn id="1" xr3:uid="{0A45B6A5-0536-4D20-A5E2-7E4BD4BDCE05}" name="Kota" dataDxfId="24"/>
    <tableColumn id="2" xr3:uid="{636D6F2C-8691-45F9-87EF-3C4669C8D4FE}" name="Wilayah" dataDxfId="23"/>
    <tableColumn id="3" xr3:uid="{873955BF-A08E-404A-897B-9A4966E646E3}" name="Biaya Kirim per Unit" dataDxfId="22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8C010A-5D31-4A19-AF5C-380C4883E588}" name="Table4" displayName="Table4" ref="A1:C5" totalsRowShown="0" headerRowBorderDxfId="21" tableBorderDxfId="20" totalsRowBorderDxfId="19">
  <autoFilter ref="A1:C5" xr:uid="{DA8C010A-5D31-4A19-AF5C-380C4883E588}"/>
  <tableColumns count="3">
    <tableColumn id="1" xr3:uid="{0FEAB7C0-9975-4BB3-97C0-65272C933D59}" name="Kode Promo" dataDxfId="18"/>
    <tableColumn id="2" xr3:uid="{7268390E-5820-4F31-AA85-AF2D35552741}" name="Besaran Diskon" dataDxfId="17"/>
    <tableColumn id="3" xr3:uid="{95D74BC3-E24F-46CD-A305-3DE4BBBB44D9}" name="Keterangan Syarat" dataDxfId="16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8BD81D-9F01-414B-A4EE-0F3E3758FAD8}" name="Table5" displayName="Table5" ref="A5:D12" totalsRowShown="0" headerRowDxfId="15" dataDxfId="13" headerRowBorderDxfId="14" tableBorderDxfId="12" totalsRowBorderDxfId="11" dataCellStyle="Percent">
  <autoFilter ref="A5:D12" xr:uid="{2D8BD81D-9F01-414B-A4EE-0F3E3758FAD8}"/>
  <tableColumns count="4">
    <tableColumn id="1" xr3:uid="{C0DB13C7-69BD-4B04-AD37-A903E9718342}" name="Nomor Soal" dataDxfId="10" dataCellStyle="Percent"/>
    <tableColumn id="2" xr3:uid="{0024CB6F-4755-4E2C-8351-AEB7946C3495}" name="Kategori Keterampilan" dataDxfId="9" dataCellStyle="Percent"/>
    <tableColumn id="3" xr3:uid="{E54C8867-FE29-4C25-A0EC-89B409159D7E}" name="Instruksi Pengerjaan" dataDxfId="8" dataCellStyle="Percent"/>
    <tableColumn id="4" xr3:uid="{2E3FF913-4ABB-4AED-AD44-A625313457B5}" name="Output yang Diharapkan" dataDxfId="7" dataCellStyle="Percent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0CB7E-007D-4606-A73E-4B42C1284222}">
  <dimension ref="A1:R501"/>
  <sheetViews>
    <sheetView topLeftCell="A2" workbookViewId="0">
      <selection activeCell="M12" sqref="A2:R501"/>
    </sheetView>
  </sheetViews>
  <sheetFormatPr defaultRowHeight="15" x14ac:dyDescent="0.25"/>
  <cols>
    <col min="1" max="1" width="16.5703125" bestFit="1" customWidth="1"/>
    <col min="2" max="2" width="11.7109375" bestFit="1" customWidth="1"/>
    <col min="3" max="3" width="10" bestFit="1" customWidth="1"/>
    <col min="4" max="4" width="8.140625" bestFit="1" customWidth="1"/>
    <col min="5" max="5" width="16.5703125" bestFit="1" customWidth="1"/>
    <col min="6" max="6" width="16.28515625" bestFit="1" customWidth="1"/>
    <col min="7" max="7" width="21.5703125" bestFit="1" customWidth="1"/>
    <col min="8" max="8" width="11.85546875" bestFit="1" customWidth="1"/>
    <col min="9" max="9" width="18.7109375" style="26" bestFit="1" customWidth="1"/>
    <col min="10" max="10" width="15.85546875" bestFit="1" customWidth="1"/>
    <col min="11" max="11" width="24.7109375" bestFit="1" customWidth="1"/>
    <col min="12" max="12" width="22.42578125" bestFit="1" customWidth="1"/>
    <col min="13" max="13" width="29" bestFit="1" customWidth="1"/>
    <col min="14" max="14" width="21" bestFit="1" customWidth="1"/>
    <col min="15" max="15" width="30" bestFit="1" customWidth="1"/>
    <col min="16" max="16" width="15.42578125" bestFit="1" customWidth="1"/>
    <col min="17" max="17" width="14.85546875" bestFit="1" customWidth="1"/>
    <col min="18" max="18" width="24.5703125" bestFit="1" customWidth="1"/>
  </cols>
  <sheetData>
    <row r="1" spans="1:18" ht="20.25" thickBot="1" x14ac:dyDescent="0.6">
      <c r="A1" s="6" t="s">
        <v>0</v>
      </c>
      <c r="B1" s="20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</row>
    <row r="2" spans="1:18" ht="20.25" thickBot="1" x14ac:dyDescent="0.6">
      <c r="A2" s="3" t="s">
        <v>18</v>
      </c>
      <c r="B2" s="21">
        <v>45659</v>
      </c>
      <c r="C2" s="1" t="s">
        <v>19</v>
      </c>
      <c r="D2" s="1" t="s">
        <v>20</v>
      </c>
      <c r="E2" s="2">
        <v>2</v>
      </c>
      <c r="F2" s="1" t="s">
        <v>21</v>
      </c>
      <c r="G2" s="1" t="str">
        <f>INDEX(Table2[Nama Produk],MATCH(Table1[[#This Row],[SKU]],Table2[SKU],0))</f>
        <v>Laptop Pro 14</v>
      </c>
      <c r="H2" s="1" t="str">
        <f>VLOOKUP(Table1[[#This Row],[SKU]],Table2[],3,FALSE)</f>
        <v>Elektronik</v>
      </c>
      <c r="I2" s="37">
        <f>INDEX(Table2[Harga Jual],MATCH(Table1[[#This Row],[SKU]],Table2[SKU],0))</f>
        <v>12000000</v>
      </c>
      <c r="J2" s="37">
        <f>VLOOKUP(Table1[[#This Row],[SKU]],Table2[],4,FALSE)</f>
        <v>8500000</v>
      </c>
      <c r="K2" s="37">
        <f>INDEX(Table3[Biaya Kirim per Unit],MATCH(Table1[[#This Row],[Kota]],Table3[Kota],))</f>
        <v>25000</v>
      </c>
      <c r="L2" s="39">
        <f>VLOOKUP(Table1[[#This Row],[Kode_Promo]],Table4[],2,FALSE)</f>
        <v>0.1</v>
      </c>
      <c r="M2" s="37">
        <f>Table1[[#This Row],[Jumlah_Unit]]*Table1[[#This Row],[Harga_Satuan]]</f>
        <v>24000000</v>
      </c>
      <c r="N2" s="37">
        <f>Table1[[#This Row],[Total_Pendapatan_Kotor]]*Table1[[#This Row],[Persentase_Diskon]]</f>
        <v>2400000</v>
      </c>
      <c r="O2" s="37">
        <f>Table1[[#This Row],[Total_Pendapatan_Kotor]]-Table1[[#This Row],[Potongan_Diskon]]</f>
        <v>21600000</v>
      </c>
      <c r="P2" s="37">
        <f>(Table1[[#This Row],[Jumlah_Unit]]*Table1[[#This Row],[HPP_Satuan]])+(Table1[[#This Row],[Jumlah_Unit]]*Table1[[#This Row],[Biaya_Kirim_Satuan]])</f>
        <v>17050000</v>
      </c>
      <c r="Q2" s="37">
        <f>Table1[[#This Row],[Total_Pendapatan_Bersih]]-Table1[[#This Row],[Total_Biaya]]</f>
        <v>4550000</v>
      </c>
      <c r="R2" s="5">
        <f>Table1[[#This Row],[Laba_Kotor]]/Table1[[#This Row],[Total_Pendapatan_Bersih]]</f>
        <v>0.21064814814814814</v>
      </c>
    </row>
    <row r="3" spans="1:18" ht="20.25" thickBot="1" x14ac:dyDescent="0.6">
      <c r="A3" s="3" t="s">
        <v>22</v>
      </c>
      <c r="B3" s="21">
        <v>45659</v>
      </c>
      <c r="C3" s="1" t="s">
        <v>23</v>
      </c>
      <c r="D3" s="1" t="s">
        <v>24</v>
      </c>
      <c r="E3" s="2">
        <v>5</v>
      </c>
      <c r="F3" s="1" t="s">
        <v>25</v>
      </c>
      <c r="G3" s="1" t="str">
        <f>INDEX(Table2[Nama Produk],MATCH(Table1[[#This Row],[SKU]],Table2[SKU],0))</f>
        <v>Mechanical Keyboard</v>
      </c>
      <c r="H3" s="1" t="str">
        <f>VLOOKUP(Table1[[#This Row],[SKU]],Table2[],3,FALSE)</f>
        <v>Aksesori</v>
      </c>
      <c r="I3" s="37">
        <f>INDEX(Table2[Harga Jual],MATCH(Table1[[#This Row],[SKU]],Table2[SKU],0))</f>
        <v>850000</v>
      </c>
      <c r="J3" s="37">
        <f>VLOOKUP(Table1[[#This Row],[SKU]],Table2[],4,FALSE)</f>
        <v>450000</v>
      </c>
      <c r="K3" s="37">
        <f>INDEX(Table3[Biaya Kirim per Unit],MATCH(Table1[[#This Row],[Kota]],Table3[Kota],))</f>
        <v>35000</v>
      </c>
      <c r="L3" s="39">
        <f>VLOOKUP(Table1[[#This Row],[Kode_Promo]],Table4[],2,FALSE)</f>
        <v>0.3</v>
      </c>
      <c r="M3" s="37">
        <f>Table1[[#This Row],[Jumlah_Unit]]*Table1[[#This Row],[Harga_Satuan]]</f>
        <v>4250000</v>
      </c>
      <c r="N3" s="37">
        <f>Table1[[#This Row],[Total_Pendapatan_Kotor]]*Table1[[#This Row],[Persentase_Diskon]]</f>
        <v>1275000</v>
      </c>
      <c r="O3" s="37">
        <f>Table1[[#This Row],[Total_Pendapatan_Kotor]]-Table1[[#This Row],[Potongan_Diskon]]</f>
        <v>2975000</v>
      </c>
      <c r="P3" s="37">
        <f>(Table1[[#This Row],[Jumlah_Unit]]*Table1[[#This Row],[HPP_Satuan]])+(Table1[[#This Row],[Jumlah_Unit]]*Table1[[#This Row],[Biaya_Kirim_Satuan]])</f>
        <v>2425000</v>
      </c>
      <c r="Q3" s="37">
        <f>Table1[[#This Row],[Total_Pendapatan_Bersih]]-Table1[[#This Row],[Total_Biaya]]</f>
        <v>550000</v>
      </c>
      <c r="R3" s="5">
        <f>Table1[[#This Row],[Laba_Kotor]]/Table1[[#This Row],[Total_Pendapatan_Bersih]]</f>
        <v>0.18487394957983194</v>
      </c>
    </row>
    <row r="4" spans="1:18" ht="20.25" thickBot="1" x14ac:dyDescent="0.6">
      <c r="A4" s="3" t="s">
        <v>26</v>
      </c>
      <c r="B4" s="21">
        <v>45660</v>
      </c>
      <c r="C4" s="1" t="s">
        <v>27</v>
      </c>
      <c r="D4" s="1" t="s">
        <v>28</v>
      </c>
      <c r="E4" s="2">
        <v>1</v>
      </c>
      <c r="F4" s="1" t="s">
        <v>29</v>
      </c>
      <c r="G4" s="1" t="str">
        <f>INDEX(Table2[Nama Produk],MATCH(Table1[[#This Row],[SKU]],Table2[SKU],0))</f>
        <v>Kursi Kerja Ergonomis</v>
      </c>
      <c r="H4" s="1" t="str">
        <f>VLOOKUP(Table1[[#This Row],[SKU]],Table2[],3,FALSE)</f>
        <v>Furnitur</v>
      </c>
      <c r="I4" s="37">
        <f>INDEX(Table2[Harga Jual],MATCH(Table1[[#This Row],[SKU]],Table2[SKU],0))</f>
        <v>2100000</v>
      </c>
      <c r="J4" s="37">
        <f>VLOOKUP(Table1[[#This Row],[SKU]],Table2[],4,FALSE)</f>
        <v>1200000</v>
      </c>
      <c r="K4" s="37">
        <f>INDEX(Table3[Biaya Kirim per Unit],MATCH(Table1[[#This Row],[Kota]],Table3[Kota],))</f>
        <v>50000</v>
      </c>
      <c r="L4" s="39">
        <f>VLOOKUP(Table1[[#This Row],[Kode_Promo]],Table4[],2,FALSE)</f>
        <v>0</v>
      </c>
      <c r="M4" s="37">
        <f>Table1[[#This Row],[Jumlah_Unit]]*Table1[[#This Row],[Harga_Satuan]]</f>
        <v>2100000</v>
      </c>
      <c r="N4" s="37">
        <f>Table1[[#This Row],[Total_Pendapatan_Kotor]]*Table1[[#This Row],[Persentase_Diskon]]</f>
        <v>0</v>
      </c>
      <c r="O4" s="37">
        <f>Table1[[#This Row],[Total_Pendapatan_Kotor]]-Table1[[#This Row],[Potongan_Diskon]]</f>
        <v>2100000</v>
      </c>
      <c r="P4" s="37">
        <f>(Table1[[#This Row],[Jumlah_Unit]]*Table1[[#This Row],[HPP_Satuan]])+(Table1[[#This Row],[Jumlah_Unit]]*Table1[[#This Row],[Biaya_Kirim_Satuan]])</f>
        <v>1250000</v>
      </c>
      <c r="Q4" s="37">
        <f>Table1[[#This Row],[Total_Pendapatan_Bersih]]-Table1[[#This Row],[Total_Biaya]]</f>
        <v>850000</v>
      </c>
      <c r="R4" s="5">
        <f>Table1[[#This Row],[Laba_Kotor]]/Table1[[#This Row],[Total_Pendapatan_Bersih]]</f>
        <v>0.40476190476190477</v>
      </c>
    </row>
    <row r="5" spans="1:18" ht="20.25" thickBot="1" x14ac:dyDescent="0.6">
      <c r="A5" s="3" t="s">
        <v>30</v>
      </c>
      <c r="B5" s="21">
        <v>45661</v>
      </c>
      <c r="C5" s="1" t="s">
        <v>31</v>
      </c>
      <c r="D5" s="1" t="s">
        <v>32</v>
      </c>
      <c r="E5" s="2">
        <v>3</v>
      </c>
      <c r="F5" s="1" t="s">
        <v>33</v>
      </c>
      <c r="G5" s="1" t="str">
        <f>INDEX(Table2[Nama Produk],MATCH(Table1[[#This Row],[SKU]],Table2[SKU],0))</f>
        <v>Monitor Ergonomis 27</v>
      </c>
      <c r="H5" s="1" t="str">
        <f>VLOOKUP(Table1[[#This Row],[SKU]],Table2[],3,FALSE)</f>
        <v>Elektronik</v>
      </c>
      <c r="I5" s="37">
        <f>INDEX(Table2[Harga Jual],MATCH(Table1[[#This Row],[SKU]],Table2[SKU],0))</f>
        <v>3400000</v>
      </c>
      <c r="J5" s="37">
        <f>VLOOKUP(Table1[[#This Row],[SKU]],Table2[],4,FALSE)</f>
        <v>2100000</v>
      </c>
      <c r="K5" s="37">
        <f>INDEX(Table3[Biaya Kirim per Unit],MATCH(Table1[[#This Row],[Kota]],Table3[Kota],))</f>
        <v>65000</v>
      </c>
      <c r="L5" s="39">
        <f>VLOOKUP(Table1[[#This Row],[Kode_Promo]],Table4[],2,FALSE)</f>
        <v>0.2</v>
      </c>
      <c r="M5" s="37">
        <f>Table1[[#This Row],[Jumlah_Unit]]*Table1[[#This Row],[Harga_Satuan]]</f>
        <v>10200000</v>
      </c>
      <c r="N5" s="37">
        <f>Table1[[#This Row],[Total_Pendapatan_Kotor]]*Table1[[#This Row],[Persentase_Diskon]]</f>
        <v>2040000</v>
      </c>
      <c r="O5" s="37">
        <f>Table1[[#This Row],[Total_Pendapatan_Kotor]]-Table1[[#This Row],[Potongan_Diskon]]</f>
        <v>8160000</v>
      </c>
      <c r="P5" s="37">
        <f>(Table1[[#This Row],[Jumlah_Unit]]*Table1[[#This Row],[HPP_Satuan]])+(Table1[[#This Row],[Jumlah_Unit]]*Table1[[#This Row],[Biaya_Kirim_Satuan]])</f>
        <v>6495000</v>
      </c>
      <c r="Q5" s="37">
        <f>Table1[[#This Row],[Total_Pendapatan_Bersih]]-Table1[[#This Row],[Total_Biaya]]</f>
        <v>1665000</v>
      </c>
      <c r="R5" s="5">
        <f>Table1[[#This Row],[Laba_Kotor]]/Table1[[#This Row],[Total_Pendapatan_Bersih]]</f>
        <v>0.20404411764705882</v>
      </c>
    </row>
    <row r="6" spans="1:18" ht="20.25" thickBot="1" x14ac:dyDescent="0.6">
      <c r="A6" s="3" t="s">
        <v>34</v>
      </c>
      <c r="B6" s="21">
        <v>45662</v>
      </c>
      <c r="C6" s="1" t="s">
        <v>19</v>
      </c>
      <c r="D6" s="1" t="s">
        <v>35</v>
      </c>
      <c r="E6" s="2">
        <v>2</v>
      </c>
      <c r="F6" s="1" t="s">
        <v>21</v>
      </c>
      <c r="G6" s="1" t="str">
        <f>INDEX(Table2[Nama Produk],MATCH(Table1[[#This Row],[SKU]],Table2[SKU],0))</f>
        <v>Meja Adjustable</v>
      </c>
      <c r="H6" s="1" t="str">
        <f>VLOOKUP(Table1[[#This Row],[SKU]],Table2[],3,FALSE)</f>
        <v>Furnitur</v>
      </c>
      <c r="I6" s="37">
        <f>INDEX(Table2[Harga Jual],MATCH(Table1[[#This Row],[SKU]],Table2[SKU],0))</f>
        <v>4200000</v>
      </c>
      <c r="J6" s="37">
        <f>VLOOKUP(Table1[[#This Row],[SKU]],Table2[],4,FALSE)</f>
        <v>2400000</v>
      </c>
      <c r="K6" s="37">
        <f>INDEX(Table3[Biaya Kirim per Unit],MATCH(Table1[[#This Row],[Kota]],Table3[Kota],))</f>
        <v>25000</v>
      </c>
      <c r="L6" s="39">
        <f>VLOOKUP(Table1[[#This Row],[Kode_Promo]],Table4[],2,FALSE)</f>
        <v>0.1</v>
      </c>
      <c r="M6" s="37">
        <f>Table1[[#This Row],[Jumlah_Unit]]*Table1[[#This Row],[Harga_Satuan]]</f>
        <v>8400000</v>
      </c>
      <c r="N6" s="37">
        <f>Table1[[#This Row],[Total_Pendapatan_Kotor]]*Table1[[#This Row],[Persentase_Diskon]]</f>
        <v>840000</v>
      </c>
      <c r="O6" s="37">
        <f>Table1[[#This Row],[Total_Pendapatan_Kotor]]-Table1[[#This Row],[Potongan_Diskon]]</f>
        <v>7560000</v>
      </c>
      <c r="P6" s="37">
        <f>(Table1[[#This Row],[Jumlah_Unit]]*Table1[[#This Row],[HPP_Satuan]])+(Table1[[#This Row],[Jumlah_Unit]]*Table1[[#This Row],[Biaya_Kirim_Satuan]])</f>
        <v>4850000</v>
      </c>
      <c r="Q6" s="37">
        <f>Table1[[#This Row],[Total_Pendapatan_Bersih]]-Table1[[#This Row],[Total_Biaya]]</f>
        <v>2710000</v>
      </c>
      <c r="R6" s="5">
        <f>Table1[[#This Row],[Laba_Kotor]]/Table1[[#This Row],[Total_Pendapatan_Bersih]]</f>
        <v>0.35846560846560849</v>
      </c>
    </row>
    <row r="7" spans="1:18" ht="20.25" thickBot="1" x14ac:dyDescent="0.6">
      <c r="A7" s="3" t="s">
        <v>36</v>
      </c>
      <c r="B7" s="21">
        <v>45663</v>
      </c>
      <c r="C7" s="1" t="s">
        <v>23</v>
      </c>
      <c r="D7" s="1" t="s">
        <v>20</v>
      </c>
      <c r="E7" s="2">
        <v>1</v>
      </c>
      <c r="F7" s="1" t="s">
        <v>29</v>
      </c>
      <c r="G7" s="1" t="str">
        <f>INDEX(Table2[Nama Produk],MATCH(Table1[[#This Row],[SKU]],Table2[SKU],0))</f>
        <v>Laptop Pro 14</v>
      </c>
      <c r="H7" s="1" t="str">
        <f>VLOOKUP(Table1[[#This Row],[SKU]],Table2[],3,FALSE)</f>
        <v>Elektronik</v>
      </c>
      <c r="I7" s="37">
        <f>INDEX(Table2[Harga Jual],MATCH(Table1[[#This Row],[SKU]],Table2[SKU],0))</f>
        <v>12000000</v>
      </c>
      <c r="J7" s="37">
        <f>VLOOKUP(Table1[[#This Row],[SKU]],Table2[],4,FALSE)</f>
        <v>8500000</v>
      </c>
      <c r="K7" s="37">
        <f>INDEX(Table3[Biaya Kirim per Unit],MATCH(Table1[[#This Row],[Kota]],Table3[Kota],))</f>
        <v>35000</v>
      </c>
      <c r="L7" s="39">
        <f>VLOOKUP(Table1[[#This Row],[Kode_Promo]],Table4[],2,FALSE)</f>
        <v>0</v>
      </c>
      <c r="M7" s="37">
        <f>Table1[[#This Row],[Jumlah_Unit]]*Table1[[#This Row],[Harga_Satuan]]</f>
        <v>12000000</v>
      </c>
      <c r="N7" s="37">
        <f>Table1[[#This Row],[Total_Pendapatan_Kotor]]*Table1[[#This Row],[Persentase_Diskon]]</f>
        <v>0</v>
      </c>
      <c r="O7" s="37">
        <f>Table1[[#This Row],[Total_Pendapatan_Kotor]]-Table1[[#This Row],[Potongan_Diskon]]</f>
        <v>12000000</v>
      </c>
      <c r="P7" s="37">
        <f>(Table1[[#This Row],[Jumlah_Unit]]*Table1[[#This Row],[HPP_Satuan]])+(Table1[[#This Row],[Jumlah_Unit]]*Table1[[#This Row],[Biaya_Kirim_Satuan]])</f>
        <v>8535000</v>
      </c>
      <c r="Q7" s="37">
        <f>Table1[[#This Row],[Total_Pendapatan_Bersih]]-Table1[[#This Row],[Total_Biaya]]</f>
        <v>3465000</v>
      </c>
      <c r="R7" s="5">
        <f>Table1[[#This Row],[Laba_Kotor]]/Table1[[#This Row],[Total_Pendapatan_Bersih]]</f>
        <v>0.28875000000000001</v>
      </c>
    </row>
    <row r="8" spans="1:18" ht="20.25" thickBot="1" x14ac:dyDescent="0.6">
      <c r="A8" s="3" t="s">
        <v>37</v>
      </c>
      <c r="B8" s="21">
        <v>45664</v>
      </c>
      <c r="C8" s="1" t="s">
        <v>27</v>
      </c>
      <c r="D8" s="1" t="s">
        <v>24</v>
      </c>
      <c r="E8" s="2">
        <v>6</v>
      </c>
      <c r="F8" s="1" t="s">
        <v>25</v>
      </c>
      <c r="G8" s="1" t="str">
        <f>INDEX(Table2[Nama Produk],MATCH(Table1[[#This Row],[SKU]],Table2[SKU],0))</f>
        <v>Mechanical Keyboard</v>
      </c>
      <c r="H8" s="1" t="str">
        <f>VLOOKUP(Table1[[#This Row],[SKU]],Table2[],3,FALSE)</f>
        <v>Aksesori</v>
      </c>
      <c r="I8" s="37">
        <f>INDEX(Table2[Harga Jual],MATCH(Table1[[#This Row],[SKU]],Table2[SKU],0))</f>
        <v>850000</v>
      </c>
      <c r="J8" s="37">
        <f>VLOOKUP(Table1[[#This Row],[SKU]],Table2[],4,FALSE)</f>
        <v>450000</v>
      </c>
      <c r="K8" s="37">
        <f>INDEX(Table3[Biaya Kirim per Unit],MATCH(Table1[[#This Row],[Kota]],Table3[Kota],))</f>
        <v>50000</v>
      </c>
      <c r="L8" s="39">
        <f>VLOOKUP(Table1[[#This Row],[Kode_Promo]],Table4[],2,FALSE)</f>
        <v>0.3</v>
      </c>
      <c r="M8" s="37">
        <f>Table1[[#This Row],[Jumlah_Unit]]*Table1[[#This Row],[Harga_Satuan]]</f>
        <v>5100000</v>
      </c>
      <c r="N8" s="37">
        <f>Table1[[#This Row],[Total_Pendapatan_Kotor]]*Table1[[#This Row],[Persentase_Diskon]]</f>
        <v>1530000</v>
      </c>
      <c r="O8" s="37">
        <f>Table1[[#This Row],[Total_Pendapatan_Kotor]]-Table1[[#This Row],[Potongan_Diskon]]</f>
        <v>3570000</v>
      </c>
      <c r="P8" s="37">
        <f>(Table1[[#This Row],[Jumlah_Unit]]*Table1[[#This Row],[HPP_Satuan]])+(Table1[[#This Row],[Jumlah_Unit]]*Table1[[#This Row],[Biaya_Kirim_Satuan]])</f>
        <v>3000000</v>
      </c>
      <c r="Q8" s="37">
        <f>Table1[[#This Row],[Total_Pendapatan_Bersih]]-Table1[[#This Row],[Total_Biaya]]</f>
        <v>570000</v>
      </c>
      <c r="R8" s="5">
        <f>Table1[[#This Row],[Laba_Kotor]]/Table1[[#This Row],[Total_Pendapatan_Bersih]]</f>
        <v>0.15966386554621848</v>
      </c>
    </row>
    <row r="9" spans="1:18" ht="20.25" thickBot="1" x14ac:dyDescent="0.6">
      <c r="A9" s="3" t="s">
        <v>38</v>
      </c>
      <c r="B9" s="21">
        <v>45665</v>
      </c>
      <c r="C9" s="1" t="s">
        <v>31</v>
      </c>
      <c r="D9" s="1" t="s">
        <v>35</v>
      </c>
      <c r="E9" s="2">
        <v>4</v>
      </c>
      <c r="F9" s="1" t="s">
        <v>33</v>
      </c>
      <c r="G9" s="1" t="str">
        <f>INDEX(Table2[Nama Produk],MATCH(Table1[[#This Row],[SKU]],Table2[SKU],0))</f>
        <v>Meja Adjustable</v>
      </c>
      <c r="H9" s="1" t="str">
        <f>VLOOKUP(Table1[[#This Row],[SKU]],Table2[],3,FALSE)</f>
        <v>Furnitur</v>
      </c>
      <c r="I9" s="37">
        <f>INDEX(Table2[Harga Jual],MATCH(Table1[[#This Row],[SKU]],Table2[SKU],0))</f>
        <v>4200000</v>
      </c>
      <c r="J9" s="37">
        <f>VLOOKUP(Table1[[#This Row],[SKU]],Table2[],4,FALSE)</f>
        <v>2400000</v>
      </c>
      <c r="K9" s="37">
        <f>INDEX(Table3[Biaya Kirim per Unit],MATCH(Table1[[#This Row],[Kota]],Table3[Kota],))</f>
        <v>65000</v>
      </c>
      <c r="L9" s="39">
        <f>VLOOKUP(Table1[[#This Row],[Kode_Promo]],Table4[],2,FALSE)</f>
        <v>0.2</v>
      </c>
      <c r="M9" s="37">
        <f>Table1[[#This Row],[Jumlah_Unit]]*Table1[[#This Row],[Harga_Satuan]]</f>
        <v>16800000</v>
      </c>
      <c r="N9" s="37">
        <f>Table1[[#This Row],[Total_Pendapatan_Kotor]]*Table1[[#This Row],[Persentase_Diskon]]</f>
        <v>3360000</v>
      </c>
      <c r="O9" s="37">
        <f>Table1[[#This Row],[Total_Pendapatan_Kotor]]-Table1[[#This Row],[Potongan_Diskon]]</f>
        <v>13440000</v>
      </c>
      <c r="P9" s="37">
        <f>(Table1[[#This Row],[Jumlah_Unit]]*Table1[[#This Row],[HPP_Satuan]])+(Table1[[#This Row],[Jumlah_Unit]]*Table1[[#This Row],[Biaya_Kirim_Satuan]])</f>
        <v>9860000</v>
      </c>
      <c r="Q9" s="37">
        <f>Table1[[#This Row],[Total_Pendapatan_Bersih]]-Table1[[#This Row],[Total_Biaya]]</f>
        <v>3580000</v>
      </c>
      <c r="R9" s="5">
        <f>Table1[[#This Row],[Laba_Kotor]]/Table1[[#This Row],[Total_Pendapatan_Bersih]]</f>
        <v>0.26636904761904762</v>
      </c>
    </row>
    <row r="10" spans="1:18" ht="20.25" thickBot="1" x14ac:dyDescent="0.6">
      <c r="A10" s="3" t="s">
        <v>39</v>
      </c>
      <c r="B10" s="21">
        <v>45666</v>
      </c>
      <c r="C10" s="1" t="s">
        <v>19</v>
      </c>
      <c r="D10" s="1" t="s">
        <v>32</v>
      </c>
      <c r="E10" s="2">
        <v>2</v>
      </c>
      <c r="F10" s="1" t="s">
        <v>21</v>
      </c>
      <c r="G10" s="1" t="str">
        <f>INDEX(Table2[Nama Produk],MATCH(Table1[[#This Row],[SKU]],Table2[SKU],0))</f>
        <v>Monitor Ergonomis 27</v>
      </c>
      <c r="H10" s="1" t="str">
        <f>VLOOKUP(Table1[[#This Row],[SKU]],Table2[],3,FALSE)</f>
        <v>Elektronik</v>
      </c>
      <c r="I10" s="37">
        <f>INDEX(Table2[Harga Jual],MATCH(Table1[[#This Row],[SKU]],Table2[SKU],0))</f>
        <v>3400000</v>
      </c>
      <c r="J10" s="37">
        <f>VLOOKUP(Table1[[#This Row],[SKU]],Table2[],4,FALSE)</f>
        <v>2100000</v>
      </c>
      <c r="K10" s="37">
        <f>INDEX(Table3[Biaya Kirim per Unit],MATCH(Table1[[#This Row],[Kota]],Table3[Kota],))</f>
        <v>25000</v>
      </c>
      <c r="L10" s="39">
        <f>VLOOKUP(Table1[[#This Row],[Kode_Promo]],Table4[],2,FALSE)</f>
        <v>0.1</v>
      </c>
      <c r="M10" s="37">
        <f>Table1[[#This Row],[Jumlah_Unit]]*Table1[[#This Row],[Harga_Satuan]]</f>
        <v>6800000</v>
      </c>
      <c r="N10" s="37">
        <f>Table1[[#This Row],[Total_Pendapatan_Kotor]]*Table1[[#This Row],[Persentase_Diskon]]</f>
        <v>680000</v>
      </c>
      <c r="O10" s="37">
        <f>Table1[[#This Row],[Total_Pendapatan_Kotor]]-Table1[[#This Row],[Potongan_Diskon]]</f>
        <v>6120000</v>
      </c>
      <c r="P10" s="37">
        <f>(Table1[[#This Row],[Jumlah_Unit]]*Table1[[#This Row],[HPP_Satuan]])+(Table1[[#This Row],[Jumlah_Unit]]*Table1[[#This Row],[Biaya_Kirim_Satuan]])</f>
        <v>4250000</v>
      </c>
      <c r="Q10" s="37">
        <f>Table1[[#This Row],[Total_Pendapatan_Bersih]]-Table1[[#This Row],[Total_Biaya]]</f>
        <v>1870000</v>
      </c>
      <c r="R10" s="5">
        <f>Table1[[#This Row],[Laba_Kotor]]/Table1[[#This Row],[Total_Pendapatan_Bersih]]</f>
        <v>0.30555555555555558</v>
      </c>
    </row>
    <row r="11" spans="1:18" ht="20.25" thickBot="1" x14ac:dyDescent="0.6">
      <c r="A11" s="3" t="s">
        <v>40</v>
      </c>
      <c r="B11" s="21">
        <v>45667</v>
      </c>
      <c r="C11" s="1" t="s">
        <v>23</v>
      </c>
      <c r="D11" s="1" t="s">
        <v>28</v>
      </c>
      <c r="E11" s="2">
        <v>3</v>
      </c>
      <c r="F11" s="1" t="s">
        <v>25</v>
      </c>
      <c r="G11" s="1" t="str">
        <f>INDEX(Table2[Nama Produk],MATCH(Table1[[#This Row],[SKU]],Table2[SKU],0))</f>
        <v>Kursi Kerja Ergonomis</v>
      </c>
      <c r="H11" s="1" t="str">
        <f>VLOOKUP(Table1[[#This Row],[SKU]],Table2[],3,FALSE)</f>
        <v>Furnitur</v>
      </c>
      <c r="I11" s="37">
        <f>INDEX(Table2[Harga Jual],MATCH(Table1[[#This Row],[SKU]],Table2[SKU],0))</f>
        <v>2100000</v>
      </c>
      <c r="J11" s="37">
        <f>VLOOKUP(Table1[[#This Row],[SKU]],Table2[],4,FALSE)</f>
        <v>1200000</v>
      </c>
      <c r="K11" s="37">
        <f>INDEX(Table3[Biaya Kirim per Unit],MATCH(Table1[[#This Row],[Kota]],Table3[Kota],))</f>
        <v>35000</v>
      </c>
      <c r="L11" s="39">
        <f>VLOOKUP(Table1[[#This Row],[Kode_Promo]],Table4[],2,FALSE)</f>
        <v>0.3</v>
      </c>
      <c r="M11" s="37">
        <f>Table1[[#This Row],[Jumlah_Unit]]*Table1[[#This Row],[Harga_Satuan]]</f>
        <v>6300000</v>
      </c>
      <c r="N11" s="37">
        <f>Table1[[#This Row],[Total_Pendapatan_Kotor]]*Table1[[#This Row],[Persentase_Diskon]]</f>
        <v>1890000</v>
      </c>
      <c r="O11" s="37">
        <f>Table1[[#This Row],[Total_Pendapatan_Kotor]]-Table1[[#This Row],[Potongan_Diskon]]</f>
        <v>4410000</v>
      </c>
      <c r="P11" s="37">
        <f>(Table1[[#This Row],[Jumlah_Unit]]*Table1[[#This Row],[HPP_Satuan]])+(Table1[[#This Row],[Jumlah_Unit]]*Table1[[#This Row],[Biaya_Kirim_Satuan]])</f>
        <v>3705000</v>
      </c>
      <c r="Q11" s="37">
        <f>Table1[[#This Row],[Total_Pendapatan_Bersih]]-Table1[[#This Row],[Total_Biaya]]</f>
        <v>705000</v>
      </c>
      <c r="R11" s="5">
        <f>Table1[[#This Row],[Laba_Kotor]]/Table1[[#This Row],[Total_Pendapatan_Bersih]]</f>
        <v>0.1598639455782313</v>
      </c>
    </row>
    <row r="12" spans="1:18" ht="20.25" thickBot="1" x14ac:dyDescent="0.6">
      <c r="A12" s="3" t="s">
        <v>41</v>
      </c>
      <c r="B12" s="21">
        <v>45668</v>
      </c>
      <c r="C12" s="1" t="s">
        <v>27</v>
      </c>
      <c r="D12" s="1" t="s">
        <v>20</v>
      </c>
      <c r="E12" s="2">
        <v>1</v>
      </c>
      <c r="F12" s="1" t="s">
        <v>29</v>
      </c>
      <c r="G12" s="1" t="str">
        <f>INDEX(Table2[Nama Produk],MATCH(Table1[[#This Row],[SKU]],Table2[SKU],0))</f>
        <v>Laptop Pro 14</v>
      </c>
      <c r="H12" s="1" t="str">
        <f>VLOOKUP(Table1[[#This Row],[SKU]],Table2[],3,FALSE)</f>
        <v>Elektronik</v>
      </c>
      <c r="I12" s="37">
        <f>INDEX(Table2[Harga Jual],MATCH(Table1[[#This Row],[SKU]],Table2[SKU],0))</f>
        <v>12000000</v>
      </c>
      <c r="J12" s="37">
        <f>VLOOKUP(Table1[[#This Row],[SKU]],Table2[],4,FALSE)</f>
        <v>8500000</v>
      </c>
      <c r="K12" s="37">
        <f>INDEX(Table3[Biaya Kirim per Unit],MATCH(Table1[[#This Row],[Kota]],Table3[Kota],))</f>
        <v>50000</v>
      </c>
      <c r="L12" s="39">
        <f>VLOOKUP(Table1[[#This Row],[Kode_Promo]],Table4[],2,FALSE)</f>
        <v>0</v>
      </c>
      <c r="M12" s="37">
        <f>Table1[[#This Row],[Jumlah_Unit]]*Table1[[#This Row],[Harga_Satuan]]</f>
        <v>12000000</v>
      </c>
      <c r="N12" s="37">
        <f>Table1[[#This Row],[Total_Pendapatan_Kotor]]*Table1[[#This Row],[Persentase_Diskon]]</f>
        <v>0</v>
      </c>
      <c r="O12" s="37">
        <f>Table1[[#This Row],[Total_Pendapatan_Kotor]]-Table1[[#This Row],[Potongan_Diskon]]</f>
        <v>12000000</v>
      </c>
      <c r="P12" s="37">
        <f>(Table1[[#This Row],[Jumlah_Unit]]*Table1[[#This Row],[HPP_Satuan]])+(Table1[[#This Row],[Jumlah_Unit]]*Table1[[#This Row],[Biaya_Kirim_Satuan]])</f>
        <v>8550000</v>
      </c>
      <c r="Q12" s="37">
        <f>Table1[[#This Row],[Total_Pendapatan_Bersih]]-Table1[[#This Row],[Total_Biaya]]</f>
        <v>3450000</v>
      </c>
      <c r="R12" s="5">
        <f>Table1[[#This Row],[Laba_Kotor]]/Table1[[#This Row],[Total_Pendapatan_Bersih]]</f>
        <v>0.28749999999999998</v>
      </c>
    </row>
    <row r="13" spans="1:18" ht="20.25" thickBot="1" x14ac:dyDescent="0.6">
      <c r="A13" s="3" t="s">
        <v>42</v>
      </c>
      <c r="B13" s="21">
        <v>45669</v>
      </c>
      <c r="C13" s="1" t="s">
        <v>31</v>
      </c>
      <c r="D13" s="1" t="s">
        <v>24</v>
      </c>
      <c r="E13" s="2">
        <v>8</v>
      </c>
      <c r="F13" s="1" t="s">
        <v>33</v>
      </c>
      <c r="G13" s="1" t="str">
        <f>INDEX(Table2[Nama Produk],MATCH(Table1[[#This Row],[SKU]],Table2[SKU],0))</f>
        <v>Mechanical Keyboard</v>
      </c>
      <c r="H13" s="1" t="str">
        <f>VLOOKUP(Table1[[#This Row],[SKU]],Table2[],3,FALSE)</f>
        <v>Aksesori</v>
      </c>
      <c r="I13" s="37">
        <f>INDEX(Table2[Harga Jual],MATCH(Table1[[#This Row],[SKU]],Table2[SKU],0))</f>
        <v>850000</v>
      </c>
      <c r="J13" s="37">
        <f>VLOOKUP(Table1[[#This Row],[SKU]],Table2[],4,FALSE)</f>
        <v>450000</v>
      </c>
      <c r="K13" s="37">
        <f>INDEX(Table3[Biaya Kirim per Unit],MATCH(Table1[[#This Row],[Kota]],Table3[Kota],))</f>
        <v>65000</v>
      </c>
      <c r="L13" s="39">
        <f>VLOOKUP(Table1[[#This Row],[Kode_Promo]],Table4[],2,FALSE)</f>
        <v>0.2</v>
      </c>
      <c r="M13" s="37">
        <f>Table1[[#This Row],[Jumlah_Unit]]*Table1[[#This Row],[Harga_Satuan]]</f>
        <v>6800000</v>
      </c>
      <c r="N13" s="37">
        <f>Table1[[#This Row],[Total_Pendapatan_Kotor]]*Table1[[#This Row],[Persentase_Diskon]]</f>
        <v>1360000</v>
      </c>
      <c r="O13" s="37">
        <f>Table1[[#This Row],[Total_Pendapatan_Kotor]]-Table1[[#This Row],[Potongan_Diskon]]</f>
        <v>5440000</v>
      </c>
      <c r="P13" s="37">
        <f>(Table1[[#This Row],[Jumlah_Unit]]*Table1[[#This Row],[HPP_Satuan]])+(Table1[[#This Row],[Jumlah_Unit]]*Table1[[#This Row],[Biaya_Kirim_Satuan]])</f>
        <v>4120000</v>
      </c>
      <c r="Q13" s="37">
        <f>Table1[[#This Row],[Total_Pendapatan_Bersih]]-Table1[[#This Row],[Total_Biaya]]</f>
        <v>1320000</v>
      </c>
      <c r="R13" s="5">
        <f>Table1[[#This Row],[Laba_Kotor]]/Table1[[#This Row],[Total_Pendapatan_Bersih]]</f>
        <v>0.24264705882352941</v>
      </c>
    </row>
    <row r="14" spans="1:18" ht="20.25" thickBot="1" x14ac:dyDescent="0.6">
      <c r="A14" s="3" t="s">
        <v>43</v>
      </c>
      <c r="B14" s="21">
        <v>45670</v>
      </c>
      <c r="C14" s="1" t="s">
        <v>19</v>
      </c>
      <c r="D14" s="1" t="s">
        <v>28</v>
      </c>
      <c r="E14" s="2">
        <v>2</v>
      </c>
      <c r="F14" s="1" t="s">
        <v>21</v>
      </c>
      <c r="G14" s="1" t="str">
        <f>INDEX(Table2[Nama Produk],MATCH(Table1[[#This Row],[SKU]],Table2[SKU],0))</f>
        <v>Kursi Kerja Ergonomis</v>
      </c>
      <c r="H14" s="1" t="str">
        <f>VLOOKUP(Table1[[#This Row],[SKU]],Table2[],3,FALSE)</f>
        <v>Furnitur</v>
      </c>
      <c r="I14" s="37">
        <f>INDEX(Table2[Harga Jual],MATCH(Table1[[#This Row],[SKU]],Table2[SKU],0))</f>
        <v>2100000</v>
      </c>
      <c r="J14" s="37">
        <f>VLOOKUP(Table1[[#This Row],[SKU]],Table2[],4,FALSE)</f>
        <v>1200000</v>
      </c>
      <c r="K14" s="37">
        <f>INDEX(Table3[Biaya Kirim per Unit],MATCH(Table1[[#This Row],[Kota]],Table3[Kota],))</f>
        <v>25000</v>
      </c>
      <c r="L14" s="39">
        <f>VLOOKUP(Table1[[#This Row],[Kode_Promo]],Table4[],2,FALSE)</f>
        <v>0.1</v>
      </c>
      <c r="M14" s="37">
        <f>Table1[[#This Row],[Jumlah_Unit]]*Table1[[#This Row],[Harga_Satuan]]</f>
        <v>4200000</v>
      </c>
      <c r="N14" s="37">
        <f>Table1[[#This Row],[Total_Pendapatan_Kotor]]*Table1[[#This Row],[Persentase_Diskon]]</f>
        <v>420000</v>
      </c>
      <c r="O14" s="37">
        <f>Table1[[#This Row],[Total_Pendapatan_Kotor]]-Table1[[#This Row],[Potongan_Diskon]]</f>
        <v>3780000</v>
      </c>
      <c r="P14" s="37">
        <f>(Table1[[#This Row],[Jumlah_Unit]]*Table1[[#This Row],[HPP_Satuan]])+(Table1[[#This Row],[Jumlah_Unit]]*Table1[[#This Row],[Biaya_Kirim_Satuan]])</f>
        <v>2450000</v>
      </c>
      <c r="Q14" s="37">
        <f>Table1[[#This Row],[Total_Pendapatan_Bersih]]-Table1[[#This Row],[Total_Biaya]]</f>
        <v>1330000</v>
      </c>
      <c r="R14" s="5">
        <f>Table1[[#This Row],[Laba_Kotor]]/Table1[[#This Row],[Total_Pendapatan_Bersih]]</f>
        <v>0.35185185185185186</v>
      </c>
    </row>
    <row r="15" spans="1:18" ht="20.25" thickBot="1" x14ac:dyDescent="0.6">
      <c r="A15" s="3" t="s">
        <v>44</v>
      </c>
      <c r="B15" s="21">
        <v>45671</v>
      </c>
      <c r="C15" s="1" t="s">
        <v>23</v>
      </c>
      <c r="D15" s="1" t="s">
        <v>32</v>
      </c>
      <c r="E15" s="2">
        <v>4</v>
      </c>
      <c r="F15" s="1" t="s">
        <v>25</v>
      </c>
      <c r="G15" s="1" t="str">
        <f>INDEX(Table2[Nama Produk],MATCH(Table1[[#This Row],[SKU]],Table2[SKU],0))</f>
        <v>Monitor Ergonomis 27</v>
      </c>
      <c r="H15" s="1" t="str">
        <f>VLOOKUP(Table1[[#This Row],[SKU]],Table2[],3,FALSE)</f>
        <v>Elektronik</v>
      </c>
      <c r="I15" s="37">
        <f>INDEX(Table2[Harga Jual],MATCH(Table1[[#This Row],[SKU]],Table2[SKU],0))</f>
        <v>3400000</v>
      </c>
      <c r="J15" s="37">
        <f>VLOOKUP(Table1[[#This Row],[SKU]],Table2[],4,FALSE)</f>
        <v>2100000</v>
      </c>
      <c r="K15" s="37">
        <f>INDEX(Table3[Biaya Kirim per Unit],MATCH(Table1[[#This Row],[Kota]],Table3[Kota],))</f>
        <v>35000</v>
      </c>
      <c r="L15" s="39">
        <f>VLOOKUP(Table1[[#This Row],[Kode_Promo]],Table4[],2,FALSE)</f>
        <v>0.3</v>
      </c>
      <c r="M15" s="37">
        <f>Table1[[#This Row],[Jumlah_Unit]]*Table1[[#This Row],[Harga_Satuan]]</f>
        <v>13600000</v>
      </c>
      <c r="N15" s="37">
        <f>Table1[[#This Row],[Total_Pendapatan_Kotor]]*Table1[[#This Row],[Persentase_Diskon]]</f>
        <v>4080000</v>
      </c>
      <c r="O15" s="37">
        <f>Table1[[#This Row],[Total_Pendapatan_Kotor]]-Table1[[#This Row],[Potongan_Diskon]]</f>
        <v>9520000</v>
      </c>
      <c r="P15" s="37">
        <f>(Table1[[#This Row],[Jumlah_Unit]]*Table1[[#This Row],[HPP_Satuan]])+(Table1[[#This Row],[Jumlah_Unit]]*Table1[[#This Row],[Biaya_Kirim_Satuan]])</f>
        <v>8540000</v>
      </c>
      <c r="Q15" s="37">
        <f>Table1[[#This Row],[Total_Pendapatan_Bersih]]-Table1[[#This Row],[Total_Biaya]]</f>
        <v>980000</v>
      </c>
      <c r="R15" s="5">
        <f>Table1[[#This Row],[Laba_Kotor]]/Table1[[#This Row],[Total_Pendapatan_Bersih]]</f>
        <v>0.10294117647058823</v>
      </c>
    </row>
    <row r="16" spans="1:18" ht="20.25" thickBot="1" x14ac:dyDescent="0.6">
      <c r="A16" s="3" t="s">
        <v>45</v>
      </c>
      <c r="B16" s="21">
        <v>45672</v>
      </c>
      <c r="C16" s="1" t="s">
        <v>27</v>
      </c>
      <c r="D16" s="1" t="s">
        <v>35</v>
      </c>
      <c r="E16" s="2">
        <v>1</v>
      </c>
      <c r="F16" s="1" t="s">
        <v>29</v>
      </c>
      <c r="G16" s="1" t="str">
        <f>INDEX(Table2[Nama Produk],MATCH(Table1[[#This Row],[SKU]],Table2[SKU],0))</f>
        <v>Meja Adjustable</v>
      </c>
      <c r="H16" s="1" t="str">
        <f>VLOOKUP(Table1[[#This Row],[SKU]],Table2[],3,FALSE)</f>
        <v>Furnitur</v>
      </c>
      <c r="I16" s="37">
        <f>INDEX(Table2[Harga Jual],MATCH(Table1[[#This Row],[SKU]],Table2[SKU],0))</f>
        <v>4200000</v>
      </c>
      <c r="J16" s="37">
        <f>VLOOKUP(Table1[[#This Row],[SKU]],Table2[],4,FALSE)</f>
        <v>2400000</v>
      </c>
      <c r="K16" s="37">
        <f>INDEX(Table3[Biaya Kirim per Unit],MATCH(Table1[[#This Row],[Kota]],Table3[Kota],))</f>
        <v>50000</v>
      </c>
      <c r="L16" s="39">
        <f>VLOOKUP(Table1[[#This Row],[Kode_Promo]],Table4[],2,FALSE)</f>
        <v>0</v>
      </c>
      <c r="M16" s="37">
        <f>Table1[[#This Row],[Jumlah_Unit]]*Table1[[#This Row],[Harga_Satuan]]</f>
        <v>4200000</v>
      </c>
      <c r="N16" s="37">
        <f>Table1[[#This Row],[Total_Pendapatan_Kotor]]*Table1[[#This Row],[Persentase_Diskon]]</f>
        <v>0</v>
      </c>
      <c r="O16" s="37">
        <f>Table1[[#This Row],[Total_Pendapatan_Kotor]]-Table1[[#This Row],[Potongan_Diskon]]</f>
        <v>4200000</v>
      </c>
      <c r="P16" s="37">
        <f>(Table1[[#This Row],[Jumlah_Unit]]*Table1[[#This Row],[HPP_Satuan]])+(Table1[[#This Row],[Jumlah_Unit]]*Table1[[#This Row],[Biaya_Kirim_Satuan]])</f>
        <v>2450000</v>
      </c>
      <c r="Q16" s="37">
        <f>Table1[[#This Row],[Total_Pendapatan_Bersih]]-Table1[[#This Row],[Total_Biaya]]</f>
        <v>1750000</v>
      </c>
      <c r="R16" s="5">
        <f>Table1[[#This Row],[Laba_Kotor]]/Table1[[#This Row],[Total_Pendapatan_Bersih]]</f>
        <v>0.41666666666666669</v>
      </c>
    </row>
    <row r="17" spans="1:18" ht="20.25" thickBot="1" x14ac:dyDescent="0.6">
      <c r="A17" s="3" t="s">
        <v>46</v>
      </c>
      <c r="B17" s="21">
        <v>45673</v>
      </c>
      <c r="C17" s="1" t="s">
        <v>31</v>
      </c>
      <c r="D17" s="1" t="s">
        <v>20</v>
      </c>
      <c r="E17" s="2">
        <v>2</v>
      </c>
      <c r="F17" s="1" t="s">
        <v>33</v>
      </c>
      <c r="G17" s="1" t="str">
        <f>INDEX(Table2[Nama Produk],MATCH(Table1[[#This Row],[SKU]],Table2[SKU],0))</f>
        <v>Laptop Pro 14</v>
      </c>
      <c r="H17" s="1" t="str">
        <f>VLOOKUP(Table1[[#This Row],[SKU]],Table2[],3,FALSE)</f>
        <v>Elektronik</v>
      </c>
      <c r="I17" s="37">
        <f>INDEX(Table2[Harga Jual],MATCH(Table1[[#This Row],[SKU]],Table2[SKU],0))</f>
        <v>12000000</v>
      </c>
      <c r="J17" s="37">
        <f>VLOOKUP(Table1[[#This Row],[SKU]],Table2[],4,FALSE)</f>
        <v>8500000</v>
      </c>
      <c r="K17" s="37">
        <f>INDEX(Table3[Biaya Kirim per Unit],MATCH(Table1[[#This Row],[Kota]],Table3[Kota],))</f>
        <v>65000</v>
      </c>
      <c r="L17" s="39">
        <f>VLOOKUP(Table1[[#This Row],[Kode_Promo]],Table4[],2,FALSE)</f>
        <v>0.2</v>
      </c>
      <c r="M17" s="37">
        <f>Table1[[#This Row],[Jumlah_Unit]]*Table1[[#This Row],[Harga_Satuan]]</f>
        <v>24000000</v>
      </c>
      <c r="N17" s="37">
        <f>Table1[[#This Row],[Total_Pendapatan_Kotor]]*Table1[[#This Row],[Persentase_Diskon]]</f>
        <v>4800000</v>
      </c>
      <c r="O17" s="37">
        <f>Table1[[#This Row],[Total_Pendapatan_Kotor]]-Table1[[#This Row],[Potongan_Diskon]]</f>
        <v>19200000</v>
      </c>
      <c r="P17" s="37">
        <f>(Table1[[#This Row],[Jumlah_Unit]]*Table1[[#This Row],[HPP_Satuan]])+(Table1[[#This Row],[Jumlah_Unit]]*Table1[[#This Row],[Biaya_Kirim_Satuan]])</f>
        <v>17130000</v>
      </c>
      <c r="Q17" s="37">
        <f>Table1[[#This Row],[Total_Pendapatan_Bersih]]-Table1[[#This Row],[Total_Biaya]]</f>
        <v>2070000</v>
      </c>
      <c r="R17" s="5">
        <f>Table1[[#This Row],[Laba_Kotor]]/Table1[[#This Row],[Total_Pendapatan_Bersih]]</f>
        <v>0.10781250000000001</v>
      </c>
    </row>
    <row r="18" spans="1:18" ht="20.25" thickBot="1" x14ac:dyDescent="0.6">
      <c r="A18" s="3" t="s">
        <v>47</v>
      </c>
      <c r="B18" s="21">
        <v>45674</v>
      </c>
      <c r="C18" s="1" t="s">
        <v>19</v>
      </c>
      <c r="D18" s="1" t="s">
        <v>24</v>
      </c>
      <c r="E18" s="2">
        <v>5</v>
      </c>
      <c r="F18" s="1" t="s">
        <v>21</v>
      </c>
      <c r="G18" s="1" t="str">
        <f>INDEX(Table2[Nama Produk],MATCH(Table1[[#This Row],[SKU]],Table2[SKU],0))</f>
        <v>Mechanical Keyboard</v>
      </c>
      <c r="H18" s="1" t="str">
        <f>VLOOKUP(Table1[[#This Row],[SKU]],Table2[],3,FALSE)</f>
        <v>Aksesori</v>
      </c>
      <c r="I18" s="37">
        <f>INDEX(Table2[Harga Jual],MATCH(Table1[[#This Row],[SKU]],Table2[SKU],0))</f>
        <v>850000</v>
      </c>
      <c r="J18" s="37">
        <f>VLOOKUP(Table1[[#This Row],[SKU]],Table2[],4,FALSE)</f>
        <v>450000</v>
      </c>
      <c r="K18" s="37">
        <f>INDEX(Table3[Biaya Kirim per Unit],MATCH(Table1[[#This Row],[Kota]],Table3[Kota],))</f>
        <v>25000</v>
      </c>
      <c r="L18" s="39">
        <f>VLOOKUP(Table1[[#This Row],[Kode_Promo]],Table4[],2,FALSE)</f>
        <v>0.1</v>
      </c>
      <c r="M18" s="37">
        <f>Table1[[#This Row],[Jumlah_Unit]]*Table1[[#This Row],[Harga_Satuan]]</f>
        <v>4250000</v>
      </c>
      <c r="N18" s="37">
        <f>Table1[[#This Row],[Total_Pendapatan_Kotor]]*Table1[[#This Row],[Persentase_Diskon]]</f>
        <v>425000</v>
      </c>
      <c r="O18" s="37">
        <f>Table1[[#This Row],[Total_Pendapatan_Kotor]]-Table1[[#This Row],[Potongan_Diskon]]</f>
        <v>3825000</v>
      </c>
      <c r="P18" s="37">
        <f>(Table1[[#This Row],[Jumlah_Unit]]*Table1[[#This Row],[HPP_Satuan]])+(Table1[[#This Row],[Jumlah_Unit]]*Table1[[#This Row],[Biaya_Kirim_Satuan]])</f>
        <v>2375000</v>
      </c>
      <c r="Q18" s="37">
        <f>Table1[[#This Row],[Total_Pendapatan_Bersih]]-Table1[[#This Row],[Total_Biaya]]</f>
        <v>1450000</v>
      </c>
      <c r="R18" s="5">
        <f>Table1[[#This Row],[Laba_Kotor]]/Table1[[#This Row],[Total_Pendapatan_Bersih]]</f>
        <v>0.37908496732026142</v>
      </c>
    </row>
    <row r="19" spans="1:18" ht="20.25" thickBot="1" x14ac:dyDescent="0.6">
      <c r="A19" s="3" t="s">
        <v>48</v>
      </c>
      <c r="B19" s="21">
        <v>45675</v>
      </c>
      <c r="C19" s="1" t="s">
        <v>23</v>
      </c>
      <c r="D19" s="1" t="s">
        <v>35</v>
      </c>
      <c r="E19" s="2">
        <v>3</v>
      </c>
      <c r="F19" s="1" t="s">
        <v>25</v>
      </c>
      <c r="G19" s="1" t="str">
        <f>INDEX(Table2[Nama Produk],MATCH(Table1[[#This Row],[SKU]],Table2[SKU],0))</f>
        <v>Meja Adjustable</v>
      </c>
      <c r="H19" s="1" t="str">
        <f>VLOOKUP(Table1[[#This Row],[SKU]],Table2[],3,FALSE)</f>
        <v>Furnitur</v>
      </c>
      <c r="I19" s="37">
        <f>INDEX(Table2[Harga Jual],MATCH(Table1[[#This Row],[SKU]],Table2[SKU],0))</f>
        <v>4200000</v>
      </c>
      <c r="J19" s="37">
        <f>VLOOKUP(Table1[[#This Row],[SKU]],Table2[],4,FALSE)</f>
        <v>2400000</v>
      </c>
      <c r="K19" s="37">
        <f>INDEX(Table3[Biaya Kirim per Unit],MATCH(Table1[[#This Row],[Kota]],Table3[Kota],))</f>
        <v>35000</v>
      </c>
      <c r="L19" s="39">
        <f>VLOOKUP(Table1[[#This Row],[Kode_Promo]],Table4[],2,FALSE)</f>
        <v>0.3</v>
      </c>
      <c r="M19" s="37">
        <f>Table1[[#This Row],[Jumlah_Unit]]*Table1[[#This Row],[Harga_Satuan]]</f>
        <v>12600000</v>
      </c>
      <c r="N19" s="37">
        <f>Table1[[#This Row],[Total_Pendapatan_Kotor]]*Table1[[#This Row],[Persentase_Diskon]]</f>
        <v>3780000</v>
      </c>
      <c r="O19" s="37">
        <f>Table1[[#This Row],[Total_Pendapatan_Kotor]]-Table1[[#This Row],[Potongan_Diskon]]</f>
        <v>8820000</v>
      </c>
      <c r="P19" s="37">
        <f>(Table1[[#This Row],[Jumlah_Unit]]*Table1[[#This Row],[HPP_Satuan]])+(Table1[[#This Row],[Jumlah_Unit]]*Table1[[#This Row],[Biaya_Kirim_Satuan]])</f>
        <v>7305000</v>
      </c>
      <c r="Q19" s="37">
        <f>Table1[[#This Row],[Total_Pendapatan_Bersih]]-Table1[[#This Row],[Total_Biaya]]</f>
        <v>1515000</v>
      </c>
      <c r="R19" s="5">
        <f>Table1[[#This Row],[Laba_Kotor]]/Table1[[#This Row],[Total_Pendapatan_Bersih]]</f>
        <v>0.17176870748299319</v>
      </c>
    </row>
    <row r="20" spans="1:18" ht="20.25" thickBot="1" x14ac:dyDescent="0.6">
      <c r="A20" s="3" t="s">
        <v>49</v>
      </c>
      <c r="B20" s="21">
        <v>45676</v>
      </c>
      <c r="C20" s="1" t="s">
        <v>27</v>
      </c>
      <c r="D20" s="1" t="s">
        <v>32</v>
      </c>
      <c r="E20" s="2">
        <v>2</v>
      </c>
      <c r="F20" s="1" t="s">
        <v>29</v>
      </c>
      <c r="G20" s="1" t="str">
        <f>INDEX(Table2[Nama Produk],MATCH(Table1[[#This Row],[SKU]],Table2[SKU],0))</f>
        <v>Monitor Ergonomis 27</v>
      </c>
      <c r="H20" s="1" t="str">
        <f>VLOOKUP(Table1[[#This Row],[SKU]],Table2[],3,FALSE)</f>
        <v>Elektronik</v>
      </c>
      <c r="I20" s="37">
        <f>INDEX(Table2[Harga Jual],MATCH(Table1[[#This Row],[SKU]],Table2[SKU],0))</f>
        <v>3400000</v>
      </c>
      <c r="J20" s="37">
        <f>VLOOKUP(Table1[[#This Row],[SKU]],Table2[],4,FALSE)</f>
        <v>2100000</v>
      </c>
      <c r="K20" s="37">
        <f>INDEX(Table3[Biaya Kirim per Unit],MATCH(Table1[[#This Row],[Kota]],Table3[Kota],))</f>
        <v>50000</v>
      </c>
      <c r="L20" s="39">
        <f>VLOOKUP(Table1[[#This Row],[Kode_Promo]],Table4[],2,FALSE)</f>
        <v>0</v>
      </c>
      <c r="M20" s="37">
        <f>Table1[[#This Row],[Jumlah_Unit]]*Table1[[#This Row],[Harga_Satuan]]</f>
        <v>6800000</v>
      </c>
      <c r="N20" s="37">
        <f>Table1[[#This Row],[Total_Pendapatan_Kotor]]*Table1[[#This Row],[Persentase_Diskon]]</f>
        <v>0</v>
      </c>
      <c r="O20" s="37">
        <f>Table1[[#This Row],[Total_Pendapatan_Kotor]]-Table1[[#This Row],[Potongan_Diskon]]</f>
        <v>6800000</v>
      </c>
      <c r="P20" s="37">
        <f>(Table1[[#This Row],[Jumlah_Unit]]*Table1[[#This Row],[HPP_Satuan]])+(Table1[[#This Row],[Jumlah_Unit]]*Table1[[#This Row],[Biaya_Kirim_Satuan]])</f>
        <v>4300000</v>
      </c>
      <c r="Q20" s="37">
        <f>Table1[[#This Row],[Total_Pendapatan_Bersih]]-Table1[[#This Row],[Total_Biaya]]</f>
        <v>2500000</v>
      </c>
      <c r="R20" s="5">
        <f>Table1[[#This Row],[Laba_Kotor]]/Table1[[#This Row],[Total_Pendapatan_Bersih]]</f>
        <v>0.36764705882352944</v>
      </c>
    </row>
    <row r="21" spans="1:18" ht="20.25" thickBot="1" x14ac:dyDescent="0.6">
      <c r="A21" s="3" t="s">
        <v>50</v>
      </c>
      <c r="B21" s="21">
        <v>45677</v>
      </c>
      <c r="C21" s="1" t="s">
        <v>31</v>
      </c>
      <c r="D21" s="1" t="s">
        <v>28</v>
      </c>
      <c r="E21" s="2">
        <v>4</v>
      </c>
      <c r="F21" s="1" t="s">
        <v>33</v>
      </c>
      <c r="G21" s="1" t="str">
        <f>INDEX(Table2[Nama Produk],MATCH(Table1[[#This Row],[SKU]],Table2[SKU],0))</f>
        <v>Kursi Kerja Ergonomis</v>
      </c>
      <c r="H21" s="1" t="str">
        <f>VLOOKUP(Table1[[#This Row],[SKU]],Table2[],3,FALSE)</f>
        <v>Furnitur</v>
      </c>
      <c r="I21" s="37">
        <f>INDEX(Table2[Harga Jual],MATCH(Table1[[#This Row],[SKU]],Table2[SKU],0))</f>
        <v>2100000</v>
      </c>
      <c r="J21" s="37">
        <f>VLOOKUP(Table1[[#This Row],[SKU]],Table2[],4,FALSE)</f>
        <v>1200000</v>
      </c>
      <c r="K21" s="37">
        <f>INDEX(Table3[Biaya Kirim per Unit],MATCH(Table1[[#This Row],[Kota]],Table3[Kota],))</f>
        <v>65000</v>
      </c>
      <c r="L21" s="39">
        <f>VLOOKUP(Table1[[#This Row],[Kode_Promo]],Table4[],2,FALSE)</f>
        <v>0.2</v>
      </c>
      <c r="M21" s="37">
        <f>Table1[[#This Row],[Jumlah_Unit]]*Table1[[#This Row],[Harga_Satuan]]</f>
        <v>8400000</v>
      </c>
      <c r="N21" s="37">
        <f>Table1[[#This Row],[Total_Pendapatan_Kotor]]*Table1[[#This Row],[Persentase_Diskon]]</f>
        <v>1680000</v>
      </c>
      <c r="O21" s="37">
        <f>Table1[[#This Row],[Total_Pendapatan_Kotor]]-Table1[[#This Row],[Potongan_Diskon]]</f>
        <v>6720000</v>
      </c>
      <c r="P21" s="37">
        <f>(Table1[[#This Row],[Jumlah_Unit]]*Table1[[#This Row],[HPP_Satuan]])+(Table1[[#This Row],[Jumlah_Unit]]*Table1[[#This Row],[Biaya_Kirim_Satuan]])</f>
        <v>5060000</v>
      </c>
      <c r="Q21" s="37">
        <f>Table1[[#This Row],[Total_Pendapatan_Bersih]]-Table1[[#This Row],[Total_Biaya]]</f>
        <v>1660000</v>
      </c>
      <c r="R21" s="5">
        <f>Table1[[#This Row],[Laba_Kotor]]/Table1[[#This Row],[Total_Pendapatan_Bersih]]</f>
        <v>0.24702380952380953</v>
      </c>
    </row>
    <row r="22" spans="1:18" ht="20.25" thickBot="1" x14ac:dyDescent="0.6">
      <c r="A22" s="3" t="s">
        <v>51</v>
      </c>
      <c r="B22" s="21">
        <v>45678</v>
      </c>
      <c r="C22" s="1" t="s">
        <v>19</v>
      </c>
      <c r="D22" s="1" t="s">
        <v>20</v>
      </c>
      <c r="E22" s="2">
        <v>3</v>
      </c>
      <c r="F22" s="1" t="s">
        <v>21</v>
      </c>
      <c r="G22" s="1" t="str">
        <f>INDEX(Table2[Nama Produk],MATCH(Table1[[#This Row],[SKU]],Table2[SKU],0))</f>
        <v>Laptop Pro 14</v>
      </c>
      <c r="H22" s="1" t="str">
        <f>VLOOKUP(Table1[[#This Row],[SKU]],Table2[],3,FALSE)</f>
        <v>Elektronik</v>
      </c>
      <c r="I22" s="37">
        <f>INDEX(Table2[Harga Jual],MATCH(Table1[[#This Row],[SKU]],Table2[SKU],0))</f>
        <v>12000000</v>
      </c>
      <c r="J22" s="37">
        <f>VLOOKUP(Table1[[#This Row],[SKU]],Table2[],4,FALSE)</f>
        <v>8500000</v>
      </c>
      <c r="K22" s="37">
        <f>INDEX(Table3[Biaya Kirim per Unit],MATCH(Table1[[#This Row],[Kota]],Table3[Kota],))</f>
        <v>25000</v>
      </c>
      <c r="L22" s="39">
        <f>VLOOKUP(Table1[[#This Row],[Kode_Promo]],Table4[],2,FALSE)</f>
        <v>0.1</v>
      </c>
      <c r="M22" s="37">
        <f>Table1[[#This Row],[Jumlah_Unit]]*Table1[[#This Row],[Harga_Satuan]]</f>
        <v>36000000</v>
      </c>
      <c r="N22" s="37">
        <f>Table1[[#This Row],[Total_Pendapatan_Kotor]]*Table1[[#This Row],[Persentase_Diskon]]</f>
        <v>3600000</v>
      </c>
      <c r="O22" s="37">
        <f>Table1[[#This Row],[Total_Pendapatan_Kotor]]-Table1[[#This Row],[Potongan_Diskon]]</f>
        <v>32400000</v>
      </c>
      <c r="P22" s="37">
        <f>(Table1[[#This Row],[Jumlah_Unit]]*Table1[[#This Row],[HPP_Satuan]])+(Table1[[#This Row],[Jumlah_Unit]]*Table1[[#This Row],[Biaya_Kirim_Satuan]])</f>
        <v>25575000</v>
      </c>
      <c r="Q22" s="37">
        <f>Table1[[#This Row],[Total_Pendapatan_Bersih]]-Table1[[#This Row],[Total_Biaya]]</f>
        <v>6825000</v>
      </c>
      <c r="R22" s="5">
        <f>Table1[[#This Row],[Laba_Kotor]]/Table1[[#This Row],[Total_Pendapatan_Bersih]]</f>
        <v>0.21064814814814814</v>
      </c>
    </row>
    <row r="23" spans="1:18" ht="20.25" thickBot="1" x14ac:dyDescent="0.6">
      <c r="A23" s="3" t="s">
        <v>52</v>
      </c>
      <c r="B23" s="21">
        <v>45679</v>
      </c>
      <c r="C23" s="1" t="s">
        <v>23</v>
      </c>
      <c r="D23" s="1" t="s">
        <v>24</v>
      </c>
      <c r="E23" s="2">
        <v>7</v>
      </c>
      <c r="F23" s="1" t="s">
        <v>25</v>
      </c>
      <c r="G23" s="1" t="str">
        <f>INDEX(Table2[Nama Produk],MATCH(Table1[[#This Row],[SKU]],Table2[SKU],0))</f>
        <v>Mechanical Keyboard</v>
      </c>
      <c r="H23" s="1" t="str">
        <f>VLOOKUP(Table1[[#This Row],[SKU]],Table2[],3,FALSE)</f>
        <v>Aksesori</v>
      </c>
      <c r="I23" s="37">
        <f>INDEX(Table2[Harga Jual],MATCH(Table1[[#This Row],[SKU]],Table2[SKU],0))</f>
        <v>850000</v>
      </c>
      <c r="J23" s="37">
        <f>VLOOKUP(Table1[[#This Row],[SKU]],Table2[],4,FALSE)</f>
        <v>450000</v>
      </c>
      <c r="K23" s="37">
        <f>INDEX(Table3[Biaya Kirim per Unit],MATCH(Table1[[#This Row],[Kota]],Table3[Kota],))</f>
        <v>35000</v>
      </c>
      <c r="L23" s="39">
        <f>VLOOKUP(Table1[[#This Row],[Kode_Promo]],Table4[],2,FALSE)</f>
        <v>0.3</v>
      </c>
      <c r="M23" s="37">
        <f>Table1[[#This Row],[Jumlah_Unit]]*Table1[[#This Row],[Harga_Satuan]]</f>
        <v>5950000</v>
      </c>
      <c r="N23" s="37">
        <f>Table1[[#This Row],[Total_Pendapatan_Kotor]]*Table1[[#This Row],[Persentase_Diskon]]</f>
        <v>1785000</v>
      </c>
      <c r="O23" s="37">
        <f>Table1[[#This Row],[Total_Pendapatan_Kotor]]-Table1[[#This Row],[Potongan_Diskon]]</f>
        <v>4165000</v>
      </c>
      <c r="P23" s="37">
        <f>(Table1[[#This Row],[Jumlah_Unit]]*Table1[[#This Row],[HPP_Satuan]])+(Table1[[#This Row],[Jumlah_Unit]]*Table1[[#This Row],[Biaya_Kirim_Satuan]])</f>
        <v>3395000</v>
      </c>
      <c r="Q23" s="37">
        <f>Table1[[#This Row],[Total_Pendapatan_Bersih]]-Table1[[#This Row],[Total_Biaya]]</f>
        <v>770000</v>
      </c>
      <c r="R23" s="5">
        <f>Table1[[#This Row],[Laba_Kotor]]/Table1[[#This Row],[Total_Pendapatan_Bersih]]</f>
        <v>0.18487394957983194</v>
      </c>
    </row>
    <row r="24" spans="1:18" ht="20.25" thickBot="1" x14ac:dyDescent="0.6">
      <c r="A24" s="3" t="s">
        <v>53</v>
      </c>
      <c r="B24" s="21">
        <v>45680</v>
      </c>
      <c r="C24" s="1" t="s">
        <v>27</v>
      </c>
      <c r="D24" s="1" t="s">
        <v>28</v>
      </c>
      <c r="E24" s="2">
        <v>2</v>
      </c>
      <c r="F24" s="1" t="s">
        <v>29</v>
      </c>
      <c r="G24" s="1" t="str">
        <f>INDEX(Table2[Nama Produk],MATCH(Table1[[#This Row],[SKU]],Table2[SKU],0))</f>
        <v>Kursi Kerja Ergonomis</v>
      </c>
      <c r="H24" s="1" t="str">
        <f>VLOOKUP(Table1[[#This Row],[SKU]],Table2[],3,FALSE)</f>
        <v>Furnitur</v>
      </c>
      <c r="I24" s="37">
        <f>INDEX(Table2[Harga Jual],MATCH(Table1[[#This Row],[SKU]],Table2[SKU],0))</f>
        <v>2100000</v>
      </c>
      <c r="J24" s="37">
        <f>VLOOKUP(Table1[[#This Row],[SKU]],Table2[],4,FALSE)</f>
        <v>1200000</v>
      </c>
      <c r="K24" s="37">
        <f>INDEX(Table3[Biaya Kirim per Unit],MATCH(Table1[[#This Row],[Kota]],Table3[Kota],))</f>
        <v>50000</v>
      </c>
      <c r="L24" s="39">
        <f>VLOOKUP(Table1[[#This Row],[Kode_Promo]],Table4[],2,FALSE)</f>
        <v>0</v>
      </c>
      <c r="M24" s="37">
        <f>Table1[[#This Row],[Jumlah_Unit]]*Table1[[#This Row],[Harga_Satuan]]</f>
        <v>4200000</v>
      </c>
      <c r="N24" s="37">
        <f>Table1[[#This Row],[Total_Pendapatan_Kotor]]*Table1[[#This Row],[Persentase_Diskon]]</f>
        <v>0</v>
      </c>
      <c r="O24" s="37">
        <f>Table1[[#This Row],[Total_Pendapatan_Kotor]]-Table1[[#This Row],[Potongan_Diskon]]</f>
        <v>4200000</v>
      </c>
      <c r="P24" s="37">
        <f>(Table1[[#This Row],[Jumlah_Unit]]*Table1[[#This Row],[HPP_Satuan]])+(Table1[[#This Row],[Jumlah_Unit]]*Table1[[#This Row],[Biaya_Kirim_Satuan]])</f>
        <v>2500000</v>
      </c>
      <c r="Q24" s="37">
        <f>Table1[[#This Row],[Total_Pendapatan_Bersih]]-Table1[[#This Row],[Total_Biaya]]</f>
        <v>1700000</v>
      </c>
      <c r="R24" s="5">
        <f>Table1[[#This Row],[Laba_Kotor]]/Table1[[#This Row],[Total_Pendapatan_Bersih]]</f>
        <v>0.40476190476190477</v>
      </c>
    </row>
    <row r="25" spans="1:18" ht="20.25" thickBot="1" x14ac:dyDescent="0.6">
      <c r="A25" s="3" t="s">
        <v>54</v>
      </c>
      <c r="B25" s="21">
        <v>45681</v>
      </c>
      <c r="C25" s="1" t="s">
        <v>31</v>
      </c>
      <c r="D25" s="1" t="s">
        <v>32</v>
      </c>
      <c r="E25" s="2">
        <v>1</v>
      </c>
      <c r="F25" s="1" t="s">
        <v>33</v>
      </c>
      <c r="G25" s="1" t="str">
        <f>INDEX(Table2[Nama Produk],MATCH(Table1[[#This Row],[SKU]],Table2[SKU],0))</f>
        <v>Monitor Ergonomis 27</v>
      </c>
      <c r="H25" s="1" t="str">
        <f>VLOOKUP(Table1[[#This Row],[SKU]],Table2[],3,FALSE)</f>
        <v>Elektronik</v>
      </c>
      <c r="I25" s="37">
        <f>INDEX(Table2[Harga Jual],MATCH(Table1[[#This Row],[SKU]],Table2[SKU],0))</f>
        <v>3400000</v>
      </c>
      <c r="J25" s="37">
        <f>VLOOKUP(Table1[[#This Row],[SKU]],Table2[],4,FALSE)</f>
        <v>2100000</v>
      </c>
      <c r="K25" s="37">
        <f>INDEX(Table3[Biaya Kirim per Unit],MATCH(Table1[[#This Row],[Kota]],Table3[Kota],))</f>
        <v>65000</v>
      </c>
      <c r="L25" s="39">
        <f>VLOOKUP(Table1[[#This Row],[Kode_Promo]],Table4[],2,FALSE)</f>
        <v>0.2</v>
      </c>
      <c r="M25" s="37">
        <f>Table1[[#This Row],[Jumlah_Unit]]*Table1[[#This Row],[Harga_Satuan]]</f>
        <v>3400000</v>
      </c>
      <c r="N25" s="37">
        <f>Table1[[#This Row],[Total_Pendapatan_Kotor]]*Table1[[#This Row],[Persentase_Diskon]]</f>
        <v>680000</v>
      </c>
      <c r="O25" s="37">
        <f>Table1[[#This Row],[Total_Pendapatan_Kotor]]-Table1[[#This Row],[Potongan_Diskon]]</f>
        <v>2720000</v>
      </c>
      <c r="P25" s="37">
        <f>(Table1[[#This Row],[Jumlah_Unit]]*Table1[[#This Row],[HPP_Satuan]])+(Table1[[#This Row],[Jumlah_Unit]]*Table1[[#This Row],[Biaya_Kirim_Satuan]])</f>
        <v>2165000</v>
      </c>
      <c r="Q25" s="37">
        <f>Table1[[#This Row],[Total_Pendapatan_Bersih]]-Table1[[#This Row],[Total_Biaya]]</f>
        <v>555000</v>
      </c>
      <c r="R25" s="5">
        <f>Table1[[#This Row],[Laba_Kotor]]/Table1[[#This Row],[Total_Pendapatan_Bersih]]</f>
        <v>0.20404411764705882</v>
      </c>
    </row>
    <row r="26" spans="1:18" ht="20.25" thickBot="1" x14ac:dyDescent="0.6">
      <c r="A26" s="3" t="s">
        <v>55</v>
      </c>
      <c r="B26" s="21">
        <v>45682</v>
      </c>
      <c r="C26" s="1" t="s">
        <v>19</v>
      </c>
      <c r="D26" s="1" t="s">
        <v>35</v>
      </c>
      <c r="E26" s="2">
        <v>3</v>
      </c>
      <c r="F26" s="1" t="s">
        <v>21</v>
      </c>
      <c r="G26" s="1" t="str">
        <f>INDEX(Table2[Nama Produk],MATCH(Table1[[#This Row],[SKU]],Table2[SKU],0))</f>
        <v>Meja Adjustable</v>
      </c>
      <c r="H26" s="1" t="str">
        <f>VLOOKUP(Table1[[#This Row],[SKU]],Table2[],3,FALSE)</f>
        <v>Furnitur</v>
      </c>
      <c r="I26" s="37">
        <f>INDEX(Table2[Harga Jual],MATCH(Table1[[#This Row],[SKU]],Table2[SKU],0))</f>
        <v>4200000</v>
      </c>
      <c r="J26" s="37">
        <f>VLOOKUP(Table1[[#This Row],[SKU]],Table2[],4,FALSE)</f>
        <v>2400000</v>
      </c>
      <c r="K26" s="37">
        <f>INDEX(Table3[Biaya Kirim per Unit],MATCH(Table1[[#This Row],[Kota]],Table3[Kota],))</f>
        <v>25000</v>
      </c>
      <c r="L26" s="39">
        <f>VLOOKUP(Table1[[#This Row],[Kode_Promo]],Table4[],2,FALSE)</f>
        <v>0.1</v>
      </c>
      <c r="M26" s="37">
        <f>Table1[[#This Row],[Jumlah_Unit]]*Table1[[#This Row],[Harga_Satuan]]</f>
        <v>12600000</v>
      </c>
      <c r="N26" s="37">
        <f>Table1[[#This Row],[Total_Pendapatan_Kotor]]*Table1[[#This Row],[Persentase_Diskon]]</f>
        <v>1260000</v>
      </c>
      <c r="O26" s="37">
        <f>Table1[[#This Row],[Total_Pendapatan_Kotor]]-Table1[[#This Row],[Potongan_Diskon]]</f>
        <v>11340000</v>
      </c>
      <c r="P26" s="37">
        <f>(Table1[[#This Row],[Jumlah_Unit]]*Table1[[#This Row],[HPP_Satuan]])+(Table1[[#This Row],[Jumlah_Unit]]*Table1[[#This Row],[Biaya_Kirim_Satuan]])</f>
        <v>7275000</v>
      </c>
      <c r="Q26" s="37">
        <f>Table1[[#This Row],[Total_Pendapatan_Bersih]]-Table1[[#This Row],[Total_Biaya]]</f>
        <v>4065000</v>
      </c>
      <c r="R26" s="5">
        <f>Table1[[#This Row],[Laba_Kotor]]/Table1[[#This Row],[Total_Pendapatan_Bersih]]</f>
        <v>0.35846560846560849</v>
      </c>
    </row>
    <row r="27" spans="1:18" ht="20.25" thickBot="1" x14ac:dyDescent="0.6">
      <c r="A27" s="3" t="s">
        <v>56</v>
      </c>
      <c r="B27" s="21">
        <v>45683</v>
      </c>
      <c r="C27" s="1" t="s">
        <v>23</v>
      </c>
      <c r="D27" s="1" t="s">
        <v>20</v>
      </c>
      <c r="E27" s="2">
        <v>2</v>
      </c>
      <c r="F27" s="1" t="s">
        <v>29</v>
      </c>
      <c r="G27" s="1" t="str">
        <f>INDEX(Table2[Nama Produk],MATCH(Table1[[#This Row],[SKU]],Table2[SKU],0))</f>
        <v>Laptop Pro 14</v>
      </c>
      <c r="H27" s="1" t="str">
        <f>VLOOKUP(Table1[[#This Row],[SKU]],Table2[],3,FALSE)</f>
        <v>Elektronik</v>
      </c>
      <c r="I27" s="37">
        <f>INDEX(Table2[Harga Jual],MATCH(Table1[[#This Row],[SKU]],Table2[SKU],0))</f>
        <v>12000000</v>
      </c>
      <c r="J27" s="37">
        <f>VLOOKUP(Table1[[#This Row],[SKU]],Table2[],4,FALSE)</f>
        <v>8500000</v>
      </c>
      <c r="K27" s="37">
        <f>INDEX(Table3[Biaya Kirim per Unit],MATCH(Table1[[#This Row],[Kota]],Table3[Kota],))</f>
        <v>35000</v>
      </c>
      <c r="L27" s="39">
        <f>VLOOKUP(Table1[[#This Row],[Kode_Promo]],Table4[],2,FALSE)</f>
        <v>0</v>
      </c>
      <c r="M27" s="37">
        <f>Table1[[#This Row],[Jumlah_Unit]]*Table1[[#This Row],[Harga_Satuan]]</f>
        <v>24000000</v>
      </c>
      <c r="N27" s="37">
        <f>Table1[[#This Row],[Total_Pendapatan_Kotor]]*Table1[[#This Row],[Persentase_Diskon]]</f>
        <v>0</v>
      </c>
      <c r="O27" s="37">
        <f>Table1[[#This Row],[Total_Pendapatan_Kotor]]-Table1[[#This Row],[Potongan_Diskon]]</f>
        <v>24000000</v>
      </c>
      <c r="P27" s="37">
        <f>(Table1[[#This Row],[Jumlah_Unit]]*Table1[[#This Row],[HPP_Satuan]])+(Table1[[#This Row],[Jumlah_Unit]]*Table1[[#This Row],[Biaya_Kirim_Satuan]])</f>
        <v>17070000</v>
      </c>
      <c r="Q27" s="37">
        <f>Table1[[#This Row],[Total_Pendapatan_Bersih]]-Table1[[#This Row],[Total_Biaya]]</f>
        <v>6930000</v>
      </c>
      <c r="R27" s="5">
        <f>Table1[[#This Row],[Laba_Kotor]]/Table1[[#This Row],[Total_Pendapatan_Bersih]]</f>
        <v>0.28875000000000001</v>
      </c>
    </row>
    <row r="28" spans="1:18" ht="20.25" thickBot="1" x14ac:dyDescent="0.6">
      <c r="A28" s="3" t="s">
        <v>57</v>
      </c>
      <c r="B28" s="21">
        <v>45684</v>
      </c>
      <c r="C28" s="1" t="s">
        <v>27</v>
      </c>
      <c r="D28" s="1" t="s">
        <v>24</v>
      </c>
      <c r="E28" s="2">
        <v>4</v>
      </c>
      <c r="F28" s="1" t="s">
        <v>25</v>
      </c>
      <c r="G28" s="1" t="str">
        <f>INDEX(Table2[Nama Produk],MATCH(Table1[[#This Row],[SKU]],Table2[SKU],0))</f>
        <v>Mechanical Keyboard</v>
      </c>
      <c r="H28" s="1" t="str">
        <f>VLOOKUP(Table1[[#This Row],[SKU]],Table2[],3,FALSE)</f>
        <v>Aksesori</v>
      </c>
      <c r="I28" s="37">
        <f>INDEX(Table2[Harga Jual],MATCH(Table1[[#This Row],[SKU]],Table2[SKU],0))</f>
        <v>850000</v>
      </c>
      <c r="J28" s="37">
        <f>VLOOKUP(Table1[[#This Row],[SKU]],Table2[],4,FALSE)</f>
        <v>450000</v>
      </c>
      <c r="K28" s="37">
        <f>INDEX(Table3[Biaya Kirim per Unit],MATCH(Table1[[#This Row],[Kota]],Table3[Kota],))</f>
        <v>50000</v>
      </c>
      <c r="L28" s="39">
        <f>VLOOKUP(Table1[[#This Row],[Kode_Promo]],Table4[],2,FALSE)</f>
        <v>0.3</v>
      </c>
      <c r="M28" s="37">
        <f>Table1[[#This Row],[Jumlah_Unit]]*Table1[[#This Row],[Harga_Satuan]]</f>
        <v>3400000</v>
      </c>
      <c r="N28" s="37">
        <f>Table1[[#This Row],[Total_Pendapatan_Kotor]]*Table1[[#This Row],[Persentase_Diskon]]</f>
        <v>1020000</v>
      </c>
      <c r="O28" s="37">
        <f>Table1[[#This Row],[Total_Pendapatan_Kotor]]-Table1[[#This Row],[Potongan_Diskon]]</f>
        <v>2380000</v>
      </c>
      <c r="P28" s="37">
        <f>(Table1[[#This Row],[Jumlah_Unit]]*Table1[[#This Row],[HPP_Satuan]])+(Table1[[#This Row],[Jumlah_Unit]]*Table1[[#This Row],[Biaya_Kirim_Satuan]])</f>
        <v>2000000</v>
      </c>
      <c r="Q28" s="37">
        <f>Table1[[#This Row],[Total_Pendapatan_Bersih]]-Table1[[#This Row],[Total_Biaya]]</f>
        <v>380000</v>
      </c>
      <c r="R28" s="5">
        <f>Table1[[#This Row],[Laba_Kotor]]/Table1[[#This Row],[Total_Pendapatan_Bersih]]</f>
        <v>0.15966386554621848</v>
      </c>
    </row>
    <row r="29" spans="1:18" ht="20.25" thickBot="1" x14ac:dyDescent="0.6">
      <c r="A29" s="3" t="s">
        <v>58</v>
      </c>
      <c r="B29" s="21">
        <v>45685</v>
      </c>
      <c r="C29" s="1" t="s">
        <v>31</v>
      </c>
      <c r="D29" s="1" t="s">
        <v>35</v>
      </c>
      <c r="E29" s="2">
        <v>1</v>
      </c>
      <c r="F29" s="1" t="s">
        <v>33</v>
      </c>
      <c r="G29" s="1" t="str">
        <f>INDEX(Table2[Nama Produk],MATCH(Table1[[#This Row],[SKU]],Table2[SKU],0))</f>
        <v>Meja Adjustable</v>
      </c>
      <c r="H29" s="1" t="str">
        <f>VLOOKUP(Table1[[#This Row],[SKU]],Table2[],3,FALSE)</f>
        <v>Furnitur</v>
      </c>
      <c r="I29" s="37">
        <f>INDEX(Table2[Harga Jual],MATCH(Table1[[#This Row],[SKU]],Table2[SKU],0))</f>
        <v>4200000</v>
      </c>
      <c r="J29" s="37">
        <f>VLOOKUP(Table1[[#This Row],[SKU]],Table2[],4,FALSE)</f>
        <v>2400000</v>
      </c>
      <c r="K29" s="37">
        <f>INDEX(Table3[Biaya Kirim per Unit],MATCH(Table1[[#This Row],[Kota]],Table3[Kota],))</f>
        <v>65000</v>
      </c>
      <c r="L29" s="39">
        <f>VLOOKUP(Table1[[#This Row],[Kode_Promo]],Table4[],2,FALSE)</f>
        <v>0.2</v>
      </c>
      <c r="M29" s="37">
        <f>Table1[[#This Row],[Jumlah_Unit]]*Table1[[#This Row],[Harga_Satuan]]</f>
        <v>4200000</v>
      </c>
      <c r="N29" s="37">
        <f>Table1[[#This Row],[Total_Pendapatan_Kotor]]*Table1[[#This Row],[Persentase_Diskon]]</f>
        <v>840000</v>
      </c>
      <c r="O29" s="37">
        <f>Table1[[#This Row],[Total_Pendapatan_Kotor]]-Table1[[#This Row],[Potongan_Diskon]]</f>
        <v>3360000</v>
      </c>
      <c r="P29" s="37">
        <f>(Table1[[#This Row],[Jumlah_Unit]]*Table1[[#This Row],[HPP_Satuan]])+(Table1[[#This Row],[Jumlah_Unit]]*Table1[[#This Row],[Biaya_Kirim_Satuan]])</f>
        <v>2465000</v>
      </c>
      <c r="Q29" s="37">
        <f>Table1[[#This Row],[Total_Pendapatan_Bersih]]-Table1[[#This Row],[Total_Biaya]]</f>
        <v>895000</v>
      </c>
      <c r="R29" s="5">
        <f>Table1[[#This Row],[Laba_Kotor]]/Table1[[#This Row],[Total_Pendapatan_Bersih]]</f>
        <v>0.26636904761904762</v>
      </c>
    </row>
    <row r="30" spans="1:18" ht="20.25" thickBot="1" x14ac:dyDescent="0.6">
      <c r="A30" s="3" t="s">
        <v>59</v>
      </c>
      <c r="B30" s="21">
        <v>45686</v>
      </c>
      <c r="C30" s="1" t="s">
        <v>19</v>
      </c>
      <c r="D30" s="1" t="s">
        <v>32</v>
      </c>
      <c r="E30" s="2">
        <v>5</v>
      </c>
      <c r="F30" s="1" t="s">
        <v>21</v>
      </c>
      <c r="G30" s="1" t="str">
        <f>INDEX(Table2[Nama Produk],MATCH(Table1[[#This Row],[SKU]],Table2[SKU],0))</f>
        <v>Monitor Ergonomis 27</v>
      </c>
      <c r="H30" s="1" t="str">
        <f>VLOOKUP(Table1[[#This Row],[SKU]],Table2[],3,FALSE)</f>
        <v>Elektronik</v>
      </c>
      <c r="I30" s="37">
        <f>INDEX(Table2[Harga Jual],MATCH(Table1[[#This Row],[SKU]],Table2[SKU],0))</f>
        <v>3400000</v>
      </c>
      <c r="J30" s="37">
        <f>VLOOKUP(Table1[[#This Row],[SKU]],Table2[],4,FALSE)</f>
        <v>2100000</v>
      </c>
      <c r="K30" s="37">
        <f>INDEX(Table3[Biaya Kirim per Unit],MATCH(Table1[[#This Row],[Kota]],Table3[Kota],))</f>
        <v>25000</v>
      </c>
      <c r="L30" s="39">
        <f>VLOOKUP(Table1[[#This Row],[Kode_Promo]],Table4[],2,FALSE)</f>
        <v>0.1</v>
      </c>
      <c r="M30" s="37">
        <f>Table1[[#This Row],[Jumlah_Unit]]*Table1[[#This Row],[Harga_Satuan]]</f>
        <v>17000000</v>
      </c>
      <c r="N30" s="37">
        <f>Table1[[#This Row],[Total_Pendapatan_Kotor]]*Table1[[#This Row],[Persentase_Diskon]]</f>
        <v>1700000</v>
      </c>
      <c r="O30" s="37">
        <f>Table1[[#This Row],[Total_Pendapatan_Kotor]]-Table1[[#This Row],[Potongan_Diskon]]</f>
        <v>15300000</v>
      </c>
      <c r="P30" s="37">
        <f>(Table1[[#This Row],[Jumlah_Unit]]*Table1[[#This Row],[HPP_Satuan]])+(Table1[[#This Row],[Jumlah_Unit]]*Table1[[#This Row],[Biaya_Kirim_Satuan]])</f>
        <v>10625000</v>
      </c>
      <c r="Q30" s="37">
        <f>Table1[[#This Row],[Total_Pendapatan_Bersih]]-Table1[[#This Row],[Total_Biaya]]</f>
        <v>4675000</v>
      </c>
      <c r="R30" s="5">
        <f>Table1[[#This Row],[Laba_Kotor]]/Table1[[#This Row],[Total_Pendapatan_Bersih]]</f>
        <v>0.30555555555555558</v>
      </c>
    </row>
    <row r="31" spans="1:18" ht="20.25" thickBot="1" x14ac:dyDescent="0.6">
      <c r="A31" s="3" t="s">
        <v>60</v>
      </c>
      <c r="B31" s="21">
        <v>45687</v>
      </c>
      <c r="C31" s="1" t="s">
        <v>23</v>
      </c>
      <c r="D31" s="1" t="s">
        <v>28</v>
      </c>
      <c r="E31" s="2">
        <v>2</v>
      </c>
      <c r="F31" s="1" t="s">
        <v>25</v>
      </c>
      <c r="G31" s="1" t="str">
        <f>INDEX(Table2[Nama Produk],MATCH(Table1[[#This Row],[SKU]],Table2[SKU],0))</f>
        <v>Kursi Kerja Ergonomis</v>
      </c>
      <c r="H31" s="1" t="str">
        <f>VLOOKUP(Table1[[#This Row],[SKU]],Table2[],3,FALSE)</f>
        <v>Furnitur</v>
      </c>
      <c r="I31" s="37">
        <f>INDEX(Table2[Harga Jual],MATCH(Table1[[#This Row],[SKU]],Table2[SKU],0))</f>
        <v>2100000</v>
      </c>
      <c r="J31" s="37">
        <f>VLOOKUP(Table1[[#This Row],[SKU]],Table2[],4,FALSE)</f>
        <v>1200000</v>
      </c>
      <c r="K31" s="37">
        <f>INDEX(Table3[Biaya Kirim per Unit],MATCH(Table1[[#This Row],[Kota]],Table3[Kota],))</f>
        <v>35000</v>
      </c>
      <c r="L31" s="39">
        <f>VLOOKUP(Table1[[#This Row],[Kode_Promo]],Table4[],2,FALSE)</f>
        <v>0.3</v>
      </c>
      <c r="M31" s="37">
        <f>Table1[[#This Row],[Jumlah_Unit]]*Table1[[#This Row],[Harga_Satuan]]</f>
        <v>4200000</v>
      </c>
      <c r="N31" s="37">
        <f>Table1[[#This Row],[Total_Pendapatan_Kotor]]*Table1[[#This Row],[Persentase_Diskon]]</f>
        <v>1260000</v>
      </c>
      <c r="O31" s="37">
        <f>Table1[[#This Row],[Total_Pendapatan_Kotor]]-Table1[[#This Row],[Potongan_Diskon]]</f>
        <v>2940000</v>
      </c>
      <c r="P31" s="37">
        <f>(Table1[[#This Row],[Jumlah_Unit]]*Table1[[#This Row],[HPP_Satuan]])+(Table1[[#This Row],[Jumlah_Unit]]*Table1[[#This Row],[Biaya_Kirim_Satuan]])</f>
        <v>2470000</v>
      </c>
      <c r="Q31" s="37">
        <f>Table1[[#This Row],[Total_Pendapatan_Bersih]]-Table1[[#This Row],[Total_Biaya]]</f>
        <v>470000</v>
      </c>
      <c r="R31" s="5">
        <f>Table1[[#This Row],[Laba_Kotor]]/Table1[[#This Row],[Total_Pendapatan_Bersih]]</f>
        <v>0.1598639455782313</v>
      </c>
    </row>
    <row r="32" spans="1:18" ht="20.25" thickBot="1" x14ac:dyDescent="0.6">
      <c r="A32" s="3" t="s">
        <v>61</v>
      </c>
      <c r="B32" s="21">
        <v>45688</v>
      </c>
      <c r="C32" s="1" t="s">
        <v>27</v>
      </c>
      <c r="D32" s="1" t="s">
        <v>20</v>
      </c>
      <c r="E32" s="2">
        <v>3</v>
      </c>
      <c r="F32" s="1" t="s">
        <v>29</v>
      </c>
      <c r="G32" s="1" t="str">
        <f>INDEX(Table2[Nama Produk],MATCH(Table1[[#This Row],[SKU]],Table2[SKU],0))</f>
        <v>Laptop Pro 14</v>
      </c>
      <c r="H32" s="1" t="str">
        <f>VLOOKUP(Table1[[#This Row],[SKU]],Table2[],3,FALSE)</f>
        <v>Elektronik</v>
      </c>
      <c r="I32" s="37">
        <f>INDEX(Table2[Harga Jual],MATCH(Table1[[#This Row],[SKU]],Table2[SKU],0))</f>
        <v>12000000</v>
      </c>
      <c r="J32" s="37">
        <f>VLOOKUP(Table1[[#This Row],[SKU]],Table2[],4,FALSE)</f>
        <v>8500000</v>
      </c>
      <c r="K32" s="37">
        <f>INDEX(Table3[Biaya Kirim per Unit],MATCH(Table1[[#This Row],[Kota]],Table3[Kota],))</f>
        <v>50000</v>
      </c>
      <c r="L32" s="39">
        <f>VLOOKUP(Table1[[#This Row],[Kode_Promo]],Table4[],2,FALSE)</f>
        <v>0</v>
      </c>
      <c r="M32" s="37">
        <f>Table1[[#This Row],[Jumlah_Unit]]*Table1[[#This Row],[Harga_Satuan]]</f>
        <v>36000000</v>
      </c>
      <c r="N32" s="37">
        <f>Table1[[#This Row],[Total_Pendapatan_Kotor]]*Table1[[#This Row],[Persentase_Diskon]]</f>
        <v>0</v>
      </c>
      <c r="O32" s="37">
        <f>Table1[[#This Row],[Total_Pendapatan_Kotor]]-Table1[[#This Row],[Potongan_Diskon]]</f>
        <v>36000000</v>
      </c>
      <c r="P32" s="37">
        <f>(Table1[[#This Row],[Jumlah_Unit]]*Table1[[#This Row],[HPP_Satuan]])+(Table1[[#This Row],[Jumlah_Unit]]*Table1[[#This Row],[Biaya_Kirim_Satuan]])</f>
        <v>25650000</v>
      </c>
      <c r="Q32" s="37">
        <f>Table1[[#This Row],[Total_Pendapatan_Bersih]]-Table1[[#This Row],[Total_Biaya]]</f>
        <v>10350000</v>
      </c>
      <c r="R32" s="5">
        <f>Table1[[#This Row],[Laba_Kotor]]/Table1[[#This Row],[Total_Pendapatan_Bersih]]</f>
        <v>0.28749999999999998</v>
      </c>
    </row>
    <row r="33" spans="1:18" ht="20.25" thickBot="1" x14ac:dyDescent="0.6">
      <c r="A33" s="3" t="s">
        <v>62</v>
      </c>
      <c r="B33" s="21">
        <v>45689</v>
      </c>
      <c r="C33" s="1" t="s">
        <v>31</v>
      </c>
      <c r="D33" s="1" t="s">
        <v>24</v>
      </c>
      <c r="E33" s="2">
        <v>6</v>
      </c>
      <c r="F33" s="1" t="s">
        <v>33</v>
      </c>
      <c r="G33" s="1" t="str">
        <f>INDEX(Table2[Nama Produk],MATCH(Table1[[#This Row],[SKU]],Table2[SKU],0))</f>
        <v>Mechanical Keyboard</v>
      </c>
      <c r="H33" s="1" t="str">
        <f>VLOOKUP(Table1[[#This Row],[SKU]],Table2[],3,FALSE)</f>
        <v>Aksesori</v>
      </c>
      <c r="I33" s="37">
        <f>INDEX(Table2[Harga Jual],MATCH(Table1[[#This Row],[SKU]],Table2[SKU],0))</f>
        <v>850000</v>
      </c>
      <c r="J33" s="37">
        <f>VLOOKUP(Table1[[#This Row],[SKU]],Table2[],4,FALSE)</f>
        <v>450000</v>
      </c>
      <c r="K33" s="37">
        <f>INDEX(Table3[Biaya Kirim per Unit],MATCH(Table1[[#This Row],[Kota]],Table3[Kota],))</f>
        <v>65000</v>
      </c>
      <c r="L33" s="39">
        <f>VLOOKUP(Table1[[#This Row],[Kode_Promo]],Table4[],2,FALSE)</f>
        <v>0.2</v>
      </c>
      <c r="M33" s="37">
        <f>Table1[[#This Row],[Jumlah_Unit]]*Table1[[#This Row],[Harga_Satuan]]</f>
        <v>5100000</v>
      </c>
      <c r="N33" s="37">
        <f>Table1[[#This Row],[Total_Pendapatan_Kotor]]*Table1[[#This Row],[Persentase_Diskon]]</f>
        <v>1020000</v>
      </c>
      <c r="O33" s="37">
        <f>Table1[[#This Row],[Total_Pendapatan_Kotor]]-Table1[[#This Row],[Potongan_Diskon]]</f>
        <v>4080000</v>
      </c>
      <c r="P33" s="37">
        <f>(Table1[[#This Row],[Jumlah_Unit]]*Table1[[#This Row],[HPP_Satuan]])+(Table1[[#This Row],[Jumlah_Unit]]*Table1[[#This Row],[Biaya_Kirim_Satuan]])</f>
        <v>3090000</v>
      </c>
      <c r="Q33" s="37">
        <f>Table1[[#This Row],[Total_Pendapatan_Bersih]]-Table1[[#This Row],[Total_Biaya]]</f>
        <v>990000</v>
      </c>
      <c r="R33" s="5">
        <f>Table1[[#This Row],[Laba_Kotor]]/Table1[[#This Row],[Total_Pendapatan_Bersih]]</f>
        <v>0.24264705882352941</v>
      </c>
    </row>
    <row r="34" spans="1:18" ht="20.25" thickBot="1" x14ac:dyDescent="0.6">
      <c r="A34" s="3" t="s">
        <v>63</v>
      </c>
      <c r="B34" s="21">
        <v>45690</v>
      </c>
      <c r="C34" s="1" t="s">
        <v>19</v>
      </c>
      <c r="D34" s="1" t="s">
        <v>28</v>
      </c>
      <c r="E34" s="2">
        <v>1</v>
      </c>
      <c r="F34" s="1" t="s">
        <v>21</v>
      </c>
      <c r="G34" s="1" t="str">
        <f>INDEX(Table2[Nama Produk],MATCH(Table1[[#This Row],[SKU]],Table2[SKU],0))</f>
        <v>Kursi Kerja Ergonomis</v>
      </c>
      <c r="H34" s="1" t="str">
        <f>VLOOKUP(Table1[[#This Row],[SKU]],Table2[],3,FALSE)</f>
        <v>Furnitur</v>
      </c>
      <c r="I34" s="37">
        <f>INDEX(Table2[Harga Jual],MATCH(Table1[[#This Row],[SKU]],Table2[SKU],0))</f>
        <v>2100000</v>
      </c>
      <c r="J34" s="37">
        <f>VLOOKUP(Table1[[#This Row],[SKU]],Table2[],4,FALSE)</f>
        <v>1200000</v>
      </c>
      <c r="K34" s="37">
        <f>INDEX(Table3[Biaya Kirim per Unit],MATCH(Table1[[#This Row],[Kota]],Table3[Kota],))</f>
        <v>25000</v>
      </c>
      <c r="L34" s="39">
        <f>VLOOKUP(Table1[[#This Row],[Kode_Promo]],Table4[],2,FALSE)</f>
        <v>0.1</v>
      </c>
      <c r="M34" s="37">
        <f>Table1[[#This Row],[Jumlah_Unit]]*Table1[[#This Row],[Harga_Satuan]]</f>
        <v>2100000</v>
      </c>
      <c r="N34" s="37">
        <f>Table1[[#This Row],[Total_Pendapatan_Kotor]]*Table1[[#This Row],[Persentase_Diskon]]</f>
        <v>210000</v>
      </c>
      <c r="O34" s="37">
        <f>Table1[[#This Row],[Total_Pendapatan_Kotor]]-Table1[[#This Row],[Potongan_Diskon]]</f>
        <v>1890000</v>
      </c>
      <c r="P34" s="37">
        <f>(Table1[[#This Row],[Jumlah_Unit]]*Table1[[#This Row],[HPP_Satuan]])+(Table1[[#This Row],[Jumlah_Unit]]*Table1[[#This Row],[Biaya_Kirim_Satuan]])</f>
        <v>1225000</v>
      </c>
      <c r="Q34" s="37">
        <f>Table1[[#This Row],[Total_Pendapatan_Bersih]]-Table1[[#This Row],[Total_Biaya]]</f>
        <v>665000</v>
      </c>
      <c r="R34" s="5">
        <f>Table1[[#This Row],[Laba_Kotor]]/Table1[[#This Row],[Total_Pendapatan_Bersih]]</f>
        <v>0.35185185185185186</v>
      </c>
    </row>
    <row r="35" spans="1:18" ht="20.25" thickBot="1" x14ac:dyDescent="0.6">
      <c r="A35" s="3" t="s">
        <v>64</v>
      </c>
      <c r="B35" s="21">
        <v>45691</v>
      </c>
      <c r="C35" s="1" t="s">
        <v>23</v>
      </c>
      <c r="D35" s="1" t="s">
        <v>32</v>
      </c>
      <c r="E35" s="2">
        <v>2</v>
      </c>
      <c r="F35" s="1" t="s">
        <v>25</v>
      </c>
      <c r="G35" s="1" t="str">
        <f>INDEX(Table2[Nama Produk],MATCH(Table1[[#This Row],[SKU]],Table2[SKU],0))</f>
        <v>Monitor Ergonomis 27</v>
      </c>
      <c r="H35" s="1" t="str">
        <f>VLOOKUP(Table1[[#This Row],[SKU]],Table2[],3,FALSE)</f>
        <v>Elektronik</v>
      </c>
      <c r="I35" s="37">
        <f>INDEX(Table2[Harga Jual],MATCH(Table1[[#This Row],[SKU]],Table2[SKU],0))</f>
        <v>3400000</v>
      </c>
      <c r="J35" s="37">
        <f>VLOOKUP(Table1[[#This Row],[SKU]],Table2[],4,FALSE)</f>
        <v>2100000</v>
      </c>
      <c r="K35" s="37">
        <f>INDEX(Table3[Biaya Kirim per Unit],MATCH(Table1[[#This Row],[Kota]],Table3[Kota],))</f>
        <v>35000</v>
      </c>
      <c r="L35" s="39">
        <f>VLOOKUP(Table1[[#This Row],[Kode_Promo]],Table4[],2,FALSE)</f>
        <v>0.3</v>
      </c>
      <c r="M35" s="37">
        <f>Table1[[#This Row],[Jumlah_Unit]]*Table1[[#This Row],[Harga_Satuan]]</f>
        <v>6800000</v>
      </c>
      <c r="N35" s="37">
        <f>Table1[[#This Row],[Total_Pendapatan_Kotor]]*Table1[[#This Row],[Persentase_Diskon]]</f>
        <v>2040000</v>
      </c>
      <c r="O35" s="37">
        <f>Table1[[#This Row],[Total_Pendapatan_Kotor]]-Table1[[#This Row],[Potongan_Diskon]]</f>
        <v>4760000</v>
      </c>
      <c r="P35" s="37">
        <f>(Table1[[#This Row],[Jumlah_Unit]]*Table1[[#This Row],[HPP_Satuan]])+(Table1[[#This Row],[Jumlah_Unit]]*Table1[[#This Row],[Biaya_Kirim_Satuan]])</f>
        <v>4270000</v>
      </c>
      <c r="Q35" s="37">
        <f>Table1[[#This Row],[Total_Pendapatan_Bersih]]-Table1[[#This Row],[Total_Biaya]]</f>
        <v>490000</v>
      </c>
      <c r="R35" s="5">
        <f>Table1[[#This Row],[Laba_Kotor]]/Table1[[#This Row],[Total_Pendapatan_Bersih]]</f>
        <v>0.10294117647058823</v>
      </c>
    </row>
    <row r="36" spans="1:18" ht="20.25" thickBot="1" x14ac:dyDescent="0.6">
      <c r="A36" s="3" t="s">
        <v>65</v>
      </c>
      <c r="B36" s="21">
        <v>45692</v>
      </c>
      <c r="C36" s="1" t="s">
        <v>27</v>
      </c>
      <c r="D36" s="1" t="s">
        <v>35</v>
      </c>
      <c r="E36" s="2">
        <v>4</v>
      </c>
      <c r="F36" s="1" t="s">
        <v>29</v>
      </c>
      <c r="G36" s="1" t="str">
        <f>INDEX(Table2[Nama Produk],MATCH(Table1[[#This Row],[SKU]],Table2[SKU],0))</f>
        <v>Meja Adjustable</v>
      </c>
      <c r="H36" s="1" t="str">
        <f>VLOOKUP(Table1[[#This Row],[SKU]],Table2[],3,FALSE)</f>
        <v>Furnitur</v>
      </c>
      <c r="I36" s="37">
        <f>INDEX(Table2[Harga Jual],MATCH(Table1[[#This Row],[SKU]],Table2[SKU],0))</f>
        <v>4200000</v>
      </c>
      <c r="J36" s="37">
        <f>VLOOKUP(Table1[[#This Row],[SKU]],Table2[],4,FALSE)</f>
        <v>2400000</v>
      </c>
      <c r="K36" s="37">
        <f>INDEX(Table3[Biaya Kirim per Unit],MATCH(Table1[[#This Row],[Kota]],Table3[Kota],))</f>
        <v>50000</v>
      </c>
      <c r="L36" s="39">
        <f>VLOOKUP(Table1[[#This Row],[Kode_Promo]],Table4[],2,FALSE)</f>
        <v>0</v>
      </c>
      <c r="M36" s="37">
        <f>Table1[[#This Row],[Jumlah_Unit]]*Table1[[#This Row],[Harga_Satuan]]</f>
        <v>16800000</v>
      </c>
      <c r="N36" s="37">
        <f>Table1[[#This Row],[Total_Pendapatan_Kotor]]*Table1[[#This Row],[Persentase_Diskon]]</f>
        <v>0</v>
      </c>
      <c r="O36" s="37">
        <f>Table1[[#This Row],[Total_Pendapatan_Kotor]]-Table1[[#This Row],[Potongan_Diskon]]</f>
        <v>16800000</v>
      </c>
      <c r="P36" s="37">
        <f>(Table1[[#This Row],[Jumlah_Unit]]*Table1[[#This Row],[HPP_Satuan]])+(Table1[[#This Row],[Jumlah_Unit]]*Table1[[#This Row],[Biaya_Kirim_Satuan]])</f>
        <v>9800000</v>
      </c>
      <c r="Q36" s="37">
        <f>Table1[[#This Row],[Total_Pendapatan_Bersih]]-Table1[[#This Row],[Total_Biaya]]</f>
        <v>7000000</v>
      </c>
      <c r="R36" s="5">
        <f>Table1[[#This Row],[Laba_Kotor]]/Table1[[#This Row],[Total_Pendapatan_Bersih]]</f>
        <v>0.41666666666666669</v>
      </c>
    </row>
    <row r="37" spans="1:18" ht="20.25" thickBot="1" x14ac:dyDescent="0.6">
      <c r="A37" s="3" t="s">
        <v>66</v>
      </c>
      <c r="B37" s="21">
        <v>45693</v>
      </c>
      <c r="C37" s="1" t="s">
        <v>31</v>
      </c>
      <c r="D37" s="1" t="s">
        <v>20</v>
      </c>
      <c r="E37" s="2">
        <v>1</v>
      </c>
      <c r="F37" s="1" t="s">
        <v>33</v>
      </c>
      <c r="G37" s="1" t="str">
        <f>INDEX(Table2[Nama Produk],MATCH(Table1[[#This Row],[SKU]],Table2[SKU],0))</f>
        <v>Laptop Pro 14</v>
      </c>
      <c r="H37" s="1" t="str">
        <f>VLOOKUP(Table1[[#This Row],[SKU]],Table2[],3,FALSE)</f>
        <v>Elektronik</v>
      </c>
      <c r="I37" s="37">
        <f>INDEX(Table2[Harga Jual],MATCH(Table1[[#This Row],[SKU]],Table2[SKU],0))</f>
        <v>12000000</v>
      </c>
      <c r="J37" s="37">
        <f>VLOOKUP(Table1[[#This Row],[SKU]],Table2[],4,FALSE)</f>
        <v>8500000</v>
      </c>
      <c r="K37" s="37">
        <f>INDEX(Table3[Biaya Kirim per Unit],MATCH(Table1[[#This Row],[Kota]],Table3[Kota],))</f>
        <v>65000</v>
      </c>
      <c r="L37" s="39">
        <f>VLOOKUP(Table1[[#This Row],[Kode_Promo]],Table4[],2,FALSE)</f>
        <v>0.2</v>
      </c>
      <c r="M37" s="37">
        <f>Table1[[#This Row],[Jumlah_Unit]]*Table1[[#This Row],[Harga_Satuan]]</f>
        <v>12000000</v>
      </c>
      <c r="N37" s="37">
        <f>Table1[[#This Row],[Total_Pendapatan_Kotor]]*Table1[[#This Row],[Persentase_Diskon]]</f>
        <v>2400000</v>
      </c>
      <c r="O37" s="37">
        <f>Table1[[#This Row],[Total_Pendapatan_Kotor]]-Table1[[#This Row],[Potongan_Diskon]]</f>
        <v>9600000</v>
      </c>
      <c r="P37" s="37">
        <f>(Table1[[#This Row],[Jumlah_Unit]]*Table1[[#This Row],[HPP_Satuan]])+(Table1[[#This Row],[Jumlah_Unit]]*Table1[[#This Row],[Biaya_Kirim_Satuan]])</f>
        <v>8565000</v>
      </c>
      <c r="Q37" s="37">
        <f>Table1[[#This Row],[Total_Pendapatan_Bersih]]-Table1[[#This Row],[Total_Biaya]]</f>
        <v>1035000</v>
      </c>
      <c r="R37" s="5">
        <f>Table1[[#This Row],[Laba_Kotor]]/Table1[[#This Row],[Total_Pendapatan_Bersih]]</f>
        <v>0.10781250000000001</v>
      </c>
    </row>
    <row r="38" spans="1:18" ht="20.25" thickBot="1" x14ac:dyDescent="0.6">
      <c r="A38" s="3" t="s">
        <v>67</v>
      </c>
      <c r="B38" s="21">
        <v>45694</v>
      </c>
      <c r="C38" s="1" t="s">
        <v>19</v>
      </c>
      <c r="D38" s="1" t="s">
        <v>24</v>
      </c>
      <c r="E38" s="2">
        <v>3</v>
      </c>
      <c r="F38" s="1" t="s">
        <v>21</v>
      </c>
      <c r="G38" s="1" t="str">
        <f>INDEX(Table2[Nama Produk],MATCH(Table1[[#This Row],[SKU]],Table2[SKU],0))</f>
        <v>Mechanical Keyboard</v>
      </c>
      <c r="H38" s="1" t="str">
        <f>VLOOKUP(Table1[[#This Row],[SKU]],Table2[],3,FALSE)</f>
        <v>Aksesori</v>
      </c>
      <c r="I38" s="37">
        <f>INDEX(Table2[Harga Jual],MATCH(Table1[[#This Row],[SKU]],Table2[SKU],0))</f>
        <v>850000</v>
      </c>
      <c r="J38" s="37">
        <f>VLOOKUP(Table1[[#This Row],[SKU]],Table2[],4,FALSE)</f>
        <v>450000</v>
      </c>
      <c r="K38" s="37">
        <f>INDEX(Table3[Biaya Kirim per Unit],MATCH(Table1[[#This Row],[Kota]],Table3[Kota],))</f>
        <v>25000</v>
      </c>
      <c r="L38" s="39">
        <f>VLOOKUP(Table1[[#This Row],[Kode_Promo]],Table4[],2,FALSE)</f>
        <v>0.1</v>
      </c>
      <c r="M38" s="37">
        <f>Table1[[#This Row],[Jumlah_Unit]]*Table1[[#This Row],[Harga_Satuan]]</f>
        <v>2550000</v>
      </c>
      <c r="N38" s="37">
        <f>Table1[[#This Row],[Total_Pendapatan_Kotor]]*Table1[[#This Row],[Persentase_Diskon]]</f>
        <v>255000</v>
      </c>
      <c r="O38" s="37">
        <f>Table1[[#This Row],[Total_Pendapatan_Kotor]]-Table1[[#This Row],[Potongan_Diskon]]</f>
        <v>2295000</v>
      </c>
      <c r="P38" s="37">
        <f>(Table1[[#This Row],[Jumlah_Unit]]*Table1[[#This Row],[HPP_Satuan]])+(Table1[[#This Row],[Jumlah_Unit]]*Table1[[#This Row],[Biaya_Kirim_Satuan]])</f>
        <v>1425000</v>
      </c>
      <c r="Q38" s="37">
        <f>Table1[[#This Row],[Total_Pendapatan_Bersih]]-Table1[[#This Row],[Total_Biaya]]</f>
        <v>870000</v>
      </c>
      <c r="R38" s="5">
        <f>Table1[[#This Row],[Laba_Kotor]]/Table1[[#This Row],[Total_Pendapatan_Bersih]]</f>
        <v>0.37908496732026142</v>
      </c>
    </row>
    <row r="39" spans="1:18" ht="20.25" thickBot="1" x14ac:dyDescent="0.6">
      <c r="A39" s="3" t="s">
        <v>68</v>
      </c>
      <c r="B39" s="21">
        <v>45695</v>
      </c>
      <c r="C39" s="1" t="s">
        <v>23</v>
      </c>
      <c r="D39" s="1" t="s">
        <v>35</v>
      </c>
      <c r="E39" s="2">
        <v>2</v>
      </c>
      <c r="F39" s="1" t="s">
        <v>25</v>
      </c>
      <c r="G39" s="1" t="str">
        <f>INDEX(Table2[Nama Produk],MATCH(Table1[[#This Row],[SKU]],Table2[SKU],0))</f>
        <v>Meja Adjustable</v>
      </c>
      <c r="H39" s="1" t="str">
        <f>VLOOKUP(Table1[[#This Row],[SKU]],Table2[],3,FALSE)</f>
        <v>Furnitur</v>
      </c>
      <c r="I39" s="37">
        <f>INDEX(Table2[Harga Jual],MATCH(Table1[[#This Row],[SKU]],Table2[SKU],0))</f>
        <v>4200000</v>
      </c>
      <c r="J39" s="37">
        <f>VLOOKUP(Table1[[#This Row],[SKU]],Table2[],4,FALSE)</f>
        <v>2400000</v>
      </c>
      <c r="K39" s="37">
        <f>INDEX(Table3[Biaya Kirim per Unit],MATCH(Table1[[#This Row],[Kota]],Table3[Kota],))</f>
        <v>35000</v>
      </c>
      <c r="L39" s="39">
        <f>VLOOKUP(Table1[[#This Row],[Kode_Promo]],Table4[],2,FALSE)</f>
        <v>0.3</v>
      </c>
      <c r="M39" s="37">
        <f>Table1[[#This Row],[Jumlah_Unit]]*Table1[[#This Row],[Harga_Satuan]]</f>
        <v>8400000</v>
      </c>
      <c r="N39" s="37">
        <f>Table1[[#This Row],[Total_Pendapatan_Kotor]]*Table1[[#This Row],[Persentase_Diskon]]</f>
        <v>2520000</v>
      </c>
      <c r="O39" s="37">
        <f>Table1[[#This Row],[Total_Pendapatan_Kotor]]-Table1[[#This Row],[Potongan_Diskon]]</f>
        <v>5880000</v>
      </c>
      <c r="P39" s="37">
        <f>(Table1[[#This Row],[Jumlah_Unit]]*Table1[[#This Row],[HPP_Satuan]])+(Table1[[#This Row],[Jumlah_Unit]]*Table1[[#This Row],[Biaya_Kirim_Satuan]])</f>
        <v>4870000</v>
      </c>
      <c r="Q39" s="37">
        <f>Table1[[#This Row],[Total_Pendapatan_Bersih]]-Table1[[#This Row],[Total_Biaya]]</f>
        <v>1010000</v>
      </c>
      <c r="R39" s="5">
        <f>Table1[[#This Row],[Laba_Kotor]]/Table1[[#This Row],[Total_Pendapatan_Bersih]]</f>
        <v>0.17176870748299319</v>
      </c>
    </row>
    <row r="40" spans="1:18" ht="20.25" thickBot="1" x14ac:dyDescent="0.6">
      <c r="A40" s="3" t="s">
        <v>69</v>
      </c>
      <c r="B40" s="21">
        <v>45696</v>
      </c>
      <c r="C40" s="1" t="s">
        <v>27</v>
      </c>
      <c r="D40" s="1" t="s">
        <v>32</v>
      </c>
      <c r="E40" s="2">
        <v>5</v>
      </c>
      <c r="F40" s="1" t="s">
        <v>29</v>
      </c>
      <c r="G40" s="1" t="str">
        <f>INDEX(Table2[Nama Produk],MATCH(Table1[[#This Row],[SKU]],Table2[SKU],0))</f>
        <v>Monitor Ergonomis 27</v>
      </c>
      <c r="H40" s="1" t="str">
        <f>VLOOKUP(Table1[[#This Row],[SKU]],Table2[],3,FALSE)</f>
        <v>Elektronik</v>
      </c>
      <c r="I40" s="37">
        <f>INDEX(Table2[Harga Jual],MATCH(Table1[[#This Row],[SKU]],Table2[SKU],0))</f>
        <v>3400000</v>
      </c>
      <c r="J40" s="37">
        <f>VLOOKUP(Table1[[#This Row],[SKU]],Table2[],4,FALSE)</f>
        <v>2100000</v>
      </c>
      <c r="K40" s="37">
        <f>INDEX(Table3[Biaya Kirim per Unit],MATCH(Table1[[#This Row],[Kota]],Table3[Kota],))</f>
        <v>50000</v>
      </c>
      <c r="L40" s="39">
        <f>VLOOKUP(Table1[[#This Row],[Kode_Promo]],Table4[],2,FALSE)</f>
        <v>0</v>
      </c>
      <c r="M40" s="37">
        <f>Table1[[#This Row],[Jumlah_Unit]]*Table1[[#This Row],[Harga_Satuan]]</f>
        <v>17000000</v>
      </c>
      <c r="N40" s="37">
        <f>Table1[[#This Row],[Total_Pendapatan_Kotor]]*Table1[[#This Row],[Persentase_Diskon]]</f>
        <v>0</v>
      </c>
      <c r="O40" s="37">
        <f>Table1[[#This Row],[Total_Pendapatan_Kotor]]-Table1[[#This Row],[Potongan_Diskon]]</f>
        <v>17000000</v>
      </c>
      <c r="P40" s="37">
        <f>(Table1[[#This Row],[Jumlah_Unit]]*Table1[[#This Row],[HPP_Satuan]])+(Table1[[#This Row],[Jumlah_Unit]]*Table1[[#This Row],[Biaya_Kirim_Satuan]])</f>
        <v>10750000</v>
      </c>
      <c r="Q40" s="37">
        <f>Table1[[#This Row],[Total_Pendapatan_Bersih]]-Table1[[#This Row],[Total_Biaya]]</f>
        <v>6250000</v>
      </c>
      <c r="R40" s="5">
        <f>Table1[[#This Row],[Laba_Kotor]]/Table1[[#This Row],[Total_Pendapatan_Bersih]]</f>
        <v>0.36764705882352944</v>
      </c>
    </row>
    <row r="41" spans="1:18" ht="20.25" thickBot="1" x14ac:dyDescent="0.6">
      <c r="A41" s="3" t="s">
        <v>70</v>
      </c>
      <c r="B41" s="21">
        <v>45697</v>
      </c>
      <c r="C41" s="1" t="s">
        <v>31</v>
      </c>
      <c r="D41" s="1" t="s">
        <v>28</v>
      </c>
      <c r="E41" s="2">
        <v>2</v>
      </c>
      <c r="F41" s="1" t="s">
        <v>33</v>
      </c>
      <c r="G41" s="1" t="str">
        <f>INDEX(Table2[Nama Produk],MATCH(Table1[[#This Row],[SKU]],Table2[SKU],0))</f>
        <v>Kursi Kerja Ergonomis</v>
      </c>
      <c r="H41" s="1" t="str">
        <f>VLOOKUP(Table1[[#This Row],[SKU]],Table2[],3,FALSE)</f>
        <v>Furnitur</v>
      </c>
      <c r="I41" s="37">
        <f>INDEX(Table2[Harga Jual],MATCH(Table1[[#This Row],[SKU]],Table2[SKU],0))</f>
        <v>2100000</v>
      </c>
      <c r="J41" s="37">
        <f>VLOOKUP(Table1[[#This Row],[SKU]],Table2[],4,FALSE)</f>
        <v>1200000</v>
      </c>
      <c r="K41" s="37">
        <f>INDEX(Table3[Biaya Kirim per Unit],MATCH(Table1[[#This Row],[Kota]],Table3[Kota],))</f>
        <v>65000</v>
      </c>
      <c r="L41" s="39">
        <f>VLOOKUP(Table1[[#This Row],[Kode_Promo]],Table4[],2,FALSE)</f>
        <v>0.2</v>
      </c>
      <c r="M41" s="37">
        <f>Table1[[#This Row],[Jumlah_Unit]]*Table1[[#This Row],[Harga_Satuan]]</f>
        <v>4200000</v>
      </c>
      <c r="N41" s="37">
        <f>Table1[[#This Row],[Total_Pendapatan_Kotor]]*Table1[[#This Row],[Persentase_Diskon]]</f>
        <v>840000</v>
      </c>
      <c r="O41" s="37">
        <f>Table1[[#This Row],[Total_Pendapatan_Kotor]]-Table1[[#This Row],[Potongan_Diskon]]</f>
        <v>3360000</v>
      </c>
      <c r="P41" s="37">
        <f>(Table1[[#This Row],[Jumlah_Unit]]*Table1[[#This Row],[HPP_Satuan]])+(Table1[[#This Row],[Jumlah_Unit]]*Table1[[#This Row],[Biaya_Kirim_Satuan]])</f>
        <v>2530000</v>
      </c>
      <c r="Q41" s="37">
        <f>Table1[[#This Row],[Total_Pendapatan_Bersih]]-Table1[[#This Row],[Total_Biaya]]</f>
        <v>830000</v>
      </c>
      <c r="R41" s="5">
        <f>Table1[[#This Row],[Laba_Kotor]]/Table1[[#This Row],[Total_Pendapatan_Bersih]]</f>
        <v>0.24702380952380953</v>
      </c>
    </row>
    <row r="42" spans="1:18" ht="20.25" thickBot="1" x14ac:dyDescent="0.6">
      <c r="A42" s="3" t="s">
        <v>71</v>
      </c>
      <c r="B42" s="21">
        <v>45698</v>
      </c>
      <c r="C42" s="1" t="s">
        <v>19</v>
      </c>
      <c r="D42" s="1" t="s">
        <v>20</v>
      </c>
      <c r="E42" s="2">
        <v>4</v>
      </c>
      <c r="F42" s="1" t="s">
        <v>21</v>
      </c>
      <c r="G42" s="1" t="str">
        <f>INDEX(Table2[Nama Produk],MATCH(Table1[[#This Row],[SKU]],Table2[SKU],0))</f>
        <v>Laptop Pro 14</v>
      </c>
      <c r="H42" s="1" t="str">
        <f>VLOOKUP(Table1[[#This Row],[SKU]],Table2[],3,FALSE)</f>
        <v>Elektronik</v>
      </c>
      <c r="I42" s="37">
        <f>INDEX(Table2[Harga Jual],MATCH(Table1[[#This Row],[SKU]],Table2[SKU],0))</f>
        <v>12000000</v>
      </c>
      <c r="J42" s="37">
        <f>VLOOKUP(Table1[[#This Row],[SKU]],Table2[],4,FALSE)</f>
        <v>8500000</v>
      </c>
      <c r="K42" s="37">
        <f>INDEX(Table3[Biaya Kirim per Unit],MATCH(Table1[[#This Row],[Kota]],Table3[Kota],))</f>
        <v>25000</v>
      </c>
      <c r="L42" s="39">
        <f>VLOOKUP(Table1[[#This Row],[Kode_Promo]],Table4[],2,FALSE)</f>
        <v>0.1</v>
      </c>
      <c r="M42" s="37">
        <f>Table1[[#This Row],[Jumlah_Unit]]*Table1[[#This Row],[Harga_Satuan]]</f>
        <v>48000000</v>
      </c>
      <c r="N42" s="37">
        <f>Table1[[#This Row],[Total_Pendapatan_Kotor]]*Table1[[#This Row],[Persentase_Diskon]]</f>
        <v>4800000</v>
      </c>
      <c r="O42" s="37">
        <f>Table1[[#This Row],[Total_Pendapatan_Kotor]]-Table1[[#This Row],[Potongan_Diskon]]</f>
        <v>43200000</v>
      </c>
      <c r="P42" s="37">
        <f>(Table1[[#This Row],[Jumlah_Unit]]*Table1[[#This Row],[HPP_Satuan]])+(Table1[[#This Row],[Jumlah_Unit]]*Table1[[#This Row],[Biaya_Kirim_Satuan]])</f>
        <v>34100000</v>
      </c>
      <c r="Q42" s="37">
        <f>Table1[[#This Row],[Total_Pendapatan_Bersih]]-Table1[[#This Row],[Total_Biaya]]</f>
        <v>9100000</v>
      </c>
      <c r="R42" s="5">
        <f>Table1[[#This Row],[Laba_Kotor]]/Table1[[#This Row],[Total_Pendapatan_Bersih]]</f>
        <v>0.21064814814814814</v>
      </c>
    </row>
    <row r="43" spans="1:18" ht="20.25" thickBot="1" x14ac:dyDescent="0.6">
      <c r="A43" s="3" t="s">
        <v>72</v>
      </c>
      <c r="B43" s="21">
        <v>45699</v>
      </c>
      <c r="C43" s="1" t="s">
        <v>23</v>
      </c>
      <c r="D43" s="1" t="s">
        <v>24</v>
      </c>
      <c r="E43" s="2">
        <v>8</v>
      </c>
      <c r="F43" s="1" t="s">
        <v>25</v>
      </c>
      <c r="G43" s="1" t="str">
        <f>INDEX(Table2[Nama Produk],MATCH(Table1[[#This Row],[SKU]],Table2[SKU],0))</f>
        <v>Mechanical Keyboard</v>
      </c>
      <c r="H43" s="1" t="str">
        <f>VLOOKUP(Table1[[#This Row],[SKU]],Table2[],3,FALSE)</f>
        <v>Aksesori</v>
      </c>
      <c r="I43" s="37">
        <f>INDEX(Table2[Harga Jual],MATCH(Table1[[#This Row],[SKU]],Table2[SKU],0))</f>
        <v>850000</v>
      </c>
      <c r="J43" s="37">
        <f>VLOOKUP(Table1[[#This Row],[SKU]],Table2[],4,FALSE)</f>
        <v>450000</v>
      </c>
      <c r="K43" s="37">
        <f>INDEX(Table3[Biaya Kirim per Unit],MATCH(Table1[[#This Row],[Kota]],Table3[Kota],))</f>
        <v>35000</v>
      </c>
      <c r="L43" s="39">
        <f>VLOOKUP(Table1[[#This Row],[Kode_Promo]],Table4[],2,FALSE)</f>
        <v>0.3</v>
      </c>
      <c r="M43" s="37">
        <f>Table1[[#This Row],[Jumlah_Unit]]*Table1[[#This Row],[Harga_Satuan]]</f>
        <v>6800000</v>
      </c>
      <c r="N43" s="37">
        <f>Table1[[#This Row],[Total_Pendapatan_Kotor]]*Table1[[#This Row],[Persentase_Diskon]]</f>
        <v>2040000</v>
      </c>
      <c r="O43" s="37">
        <f>Table1[[#This Row],[Total_Pendapatan_Kotor]]-Table1[[#This Row],[Potongan_Diskon]]</f>
        <v>4760000</v>
      </c>
      <c r="P43" s="37">
        <f>(Table1[[#This Row],[Jumlah_Unit]]*Table1[[#This Row],[HPP_Satuan]])+(Table1[[#This Row],[Jumlah_Unit]]*Table1[[#This Row],[Biaya_Kirim_Satuan]])</f>
        <v>3880000</v>
      </c>
      <c r="Q43" s="37">
        <f>Table1[[#This Row],[Total_Pendapatan_Bersih]]-Table1[[#This Row],[Total_Biaya]]</f>
        <v>880000</v>
      </c>
      <c r="R43" s="5">
        <f>Table1[[#This Row],[Laba_Kotor]]/Table1[[#This Row],[Total_Pendapatan_Bersih]]</f>
        <v>0.18487394957983194</v>
      </c>
    </row>
    <row r="44" spans="1:18" ht="20.25" thickBot="1" x14ac:dyDescent="0.6">
      <c r="A44" s="3" t="s">
        <v>73</v>
      </c>
      <c r="B44" s="21">
        <v>45700</v>
      </c>
      <c r="C44" s="1" t="s">
        <v>27</v>
      </c>
      <c r="D44" s="1" t="s">
        <v>28</v>
      </c>
      <c r="E44" s="2">
        <v>1</v>
      </c>
      <c r="F44" s="1" t="s">
        <v>29</v>
      </c>
      <c r="G44" s="1" t="str">
        <f>INDEX(Table2[Nama Produk],MATCH(Table1[[#This Row],[SKU]],Table2[SKU],0))</f>
        <v>Kursi Kerja Ergonomis</v>
      </c>
      <c r="H44" s="1" t="str">
        <f>VLOOKUP(Table1[[#This Row],[SKU]],Table2[],3,FALSE)</f>
        <v>Furnitur</v>
      </c>
      <c r="I44" s="37">
        <f>INDEX(Table2[Harga Jual],MATCH(Table1[[#This Row],[SKU]],Table2[SKU],0))</f>
        <v>2100000</v>
      </c>
      <c r="J44" s="37">
        <f>VLOOKUP(Table1[[#This Row],[SKU]],Table2[],4,FALSE)</f>
        <v>1200000</v>
      </c>
      <c r="K44" s="37">
        <f>INDEX(Table3[Biaya Kirim per Unit],MATCH(Table1[[#This Row],[Kota]],Table3[Kota],))</f>
        <v>50000</v>
      </c>
      <c r="L44" s="39">
        <f>VLOOKUP(Table1[[#This Row],[Kode_Promo]],Table4[],2,FALSE)</f>
        <v>0</v>
      </c>
      <c r="M44" s="37">
        <f>Table1[[#This Row],[Jumlah_Unit]]*Table1[[#This Row],[Harga_Satuan]]</f>
        <v>2100000</v>
      </c>
      <c r="N44" s="37">
        <f>Table1[[#This Row],[Total_Pendapatan_Kotor]]*Table1[[#This Row],[Persentase_Diskon]]</f>
        <v>0</v>
      </c>
      <c r="O44" s="37">
        <f>Table1[[#This Row],[Total_Pendapatan_Kotor]]-Table1[[#This Row],[Potongan_Diskon]]</f>
        <v>2100000</v>
      </c>
      <c r="P44" s="37">
        <f>(Table1[[#This Row],[Jumlah_Unit]]*Table1[[#This Row],[HPP_Satuan]])+(Table1[[#This Row],[Jumlah_Unit]]*Table1[[#This Row],[Biaya_Kirim_Satuan]])</f>
        <v>1250000</v>
      </c>
      <c r="Q44" s="37">
        <f>Table1[[#This Row],[Total_Pendapatan_Bersih]]-Table1[[#This Row],[Total_Biaya]]</f>
        <v>850000</v>
      </c>
      <c r="R44" s="5">
        <f>Table1[[#This Row],[Laba_Kotor]]/Table1[[#This Row],[Total_Pendapatan_Bersih]]</f>
        <v>0.40476190476190477</v>
      </c>
    </row>
    <row r="45" spans="1:18" ht="20.25" thickBot="1" x14ac:dyDescent="0.6">
      <c r="A45" s="3" t="s">
        <v>74</v>
      </c>
      <c r="B45" s="21">
        <v>45701</v>
      </c>
      <c r="C45" s="1" t="s">
        <v>31</v>
      </c>
      <c r="D45" s="1" t="s">
        <v>32</v>
      </c>
      <c r="E45" s="2">
        <v>3</v>
      </c>
      <c r="F45" s="1" t="s">
        <v>33</v>
      </c>
      <c r="G45" s="1" t="str">
        <f>INDEX(Table2[Nama Produk],MATCH(Table1[[#This Row],[SKU]],Table2[SKU],0))</f>
        <v>Monitor Ergonomis 27</v>
      </c>
      <c r="H45" s="1" t="str">
        <f>VLOOKUP(Table1[[#This Row],[SKU]],Table2[],3,FALSE)</f>
        <v>Elektronik</v>
      </c>
      <c r="I45" s="37">
        <f>INDEX(Table2[Harga Jual],MATCH(Table1[[#This Row],[SKU]],Table2[SKU],0))</f>
        <v>3400000</v>
      </c>
      <c r="J45" s="37">
        <f>VLOOKUP(Table1[[#This Row],[SKU]],Table2[],4,FALSE)</f>
        <v>2100000</v>
      </c>
      <c r="K45" s="37">
        <f>INDEX(Table3[Biaya Kirim per Unit],MATCH(Table1[[#This Row],[Kota]],Table3[Kota],))</f>
        <v>65000</v>
      </c>
      <c r="L45" s="39">
        <f>VLOOKUP(Table1[[#This Row],[Kode_Promo]],Table4[],2,FALSE)</f>
        <v>0.2</v>
      </c>
      <c r="M45" s="37">
        <f>Table1[[#This Row],[Jumlah_Unit]]*Table1[[#This Row],[Harga_Satuan]]</f>
        <v>10200000</v>
      </c>
      <c r="N45" s="37">
        <f>Table1[[#This Row],[Total_Pendapatan_Kotor]]*Table1[[#This Row],[Persentase_Diskon]]</f>
        <v>2040000</v>
      </c>
      <c r="O45" s="37">
        <f>Table1[[#This Row],[Total_Pendapatan_Kotor]]-Table1[[#This Row],[Potongan_Diskon]]</f>
        <v>8160000</v>
      </c>
      <c r="P45" s="37">
        <f>(Table1[[#This Row],[Jumlah_Unit]]*Table1[[#This Row],[HPP_Satuan]])+(Table1[[#This Row],[Jumlah_Unit]]*Table1[[#This Row],[Biaya_Kirim_Satuan]])</f>
        <v>6495000</v>
      </c>
      <c r="Q45" s="37">
        <f>Table1[[#This Row],[Total_Pendapatan_Bersih]]-Table1[[#This Row],[Total_Biaya]]</f>
        <v>1665000</v>
      </c>
      <c r="R45" s="5">
        <f>Table1[[#This Row],[Laba_Kotor]]/Table1[[#This Row],[Total_Pendapatan_Bersih]]</f>
        <v>0.20404411764705882</v>
      </c>
    </row>
    <row r="46" spans="1:18" ht="20.25" thickBot="1" x14ac:dyDescent="0.6">
      <c r="A46" s="3" t="s">
        <v>75</v>
      </c>
      <c r="B46" s="21">
        <v>45702</v>
      </c>
      <c r="C46" s="1" t="s">
        <v>19</v>
      </c>
      <c r="D46" s="1" t="s">
        <v>35</v>
      </c>
      <c r="E46" s="2">
        <v>2</v>
      </c>
      <c r="F46" s="1" t="s">
        <v>21</v>
      </c>
      <c r="G46" s="1" t="str">
        <f>INDEX(Table2[Nama Produk],MATCH(Table1[[#This Row],[SKU]],Table2[SKU],0))</f>
        <v>Meja Adjustable</v>
      </c>
      <c r="H46" s="1" t="str">
        <f>VLOOKUP(Table1[[#This Row],[SKU]],Table2[],3,FALSE)</f>
        <v>Furnitur</v>
      </c>
      <c r="I46" s="37">
        <f>INDEX(Table2[Harga Jual],MATCH(Table1[[#This Row],[SKU]],Table2[SKU],0))</f>
        <v>4200000</v>
      </c>
      <c r="J46" s="37">
        <f>VLOOKUP(Table1[[#This Row],[SKU]],Table2[],4,FALSE)</f>
        <v>2400000</v>
      </c>
      <c r="K46" s="37">
        <f>INDEX(Table3[Biaya Kirim per Unit],MATCH(Table1[[#This Row],[Kota]],Table3[Kota],))</f>
        <v>25000</v>
      </c>
      <c r="L46" s="39">
        <f>VLOOKUP(Table1[[#This Row],[Kode_Promo]],Table4[],2,FALSE)</f>
        <v>0.1</v>
      </c>
      <c r="M46" s="37">
        <f>Table1[[#This Row],[Jumlah_Unit]]*Table1[[#This Row],[Harga_Satuan]]</f>
        <v>8400000</v>
      </c>
      <c r="N46" s="37">
        <f>Table1[[#This Row],[Total_Pendapatan_Kotor]]*Table1[[#This Row],[Persentase_Diskon]]</f>
        <v>840000</v>
      </c>
      <c r="O46" s="37">
        <f>Table1[[#This Row],[Total_Pendapatan_Kotor]]-Table1[[#This Row],[Potongan_Diskon]]</f>
        <v>7560000</v>
      </c>
      <c r="P46" s="37">
        <f>(Table1[[#This Row],[Jumlah_Unit]]*Table1[[#This Row],[HPP_Satuan]])+(Table1[[#This Row],[Jumlah_Unit]]*Table1[[#This Row],[Biaya_Kirim_Satuan]])</f>
        <v>4850000</v>
      </c>
      <c r="Q46" s="37">
        <f>Table1[[#This Row],[Total_Pendapatan_Bersih]]-Table1[[#This Row],[Total_Biaya]]</f>
        <v>2710000</v>
      </c>
      <c r="R46" s="5">
        <f>Table1[[#This Row],[Laba_Kotor]]/Table1[[#This Row],[Total_Pendapatan_Bersih]]</f>
        <v>0.35846560846560849</v>
      </c>
    </row>
    <row r="47" spans="1:18" ht="20.25" thickBot="1" x14ac:dyDescent="0.6">
      <c r="A47" s="3" t="s">
        <v>76</v>
      </c>
      <c r="B47" s="21">
        <v>45703</v>
      </c>
      <c r="C47" s="1" t="s">
        <v>23</v>
      </c>
      <c r="D47" s="1" t="s">
        <v>20</v>
      </c>
      <c r="E47" s="2">
        <v>1</v>
      </c>
      <c r="F47" s="1" t="s">
        <v>29</v>
      </c>
      <c r="G47" s="1" t="str">
        <f>INDEX(Table2[Nama Produk],MATCH(Table1[[#This Row],[SKU]],Table2[SKU],0))</f>
        <v>Laptop Pro 14</v>
      </c>
      <c r="H47" s="1" t="str">
        <f>VLOOKUP(Table1[[#This Row],[SKU]],Table2[],3,FALSE)</f>
        <v>Elektronik</v>
      </c>
      <c r="I47" s="37">
        <f>INDEX(Table2[Harga Jual],MATCH(Table1[[#This Row],[SKU]],Table2[SKU],0))</f>
        <v>12000000</v>
      </c>
      <c r="J47" s="37">
        <f>VLOOKUP(Table1[[#This Row],[SKU]],Table2[],4,FALSE)</f>
        <v>8500000</v>
      </c>
      <c r="K47" s="37">
        <f>INDEX(Table3[Biaya Kirim per Unit],MATCH(Table1[[#This Row],[Kota]],Table3[Kota],))</f>
        <v>35000</v>
      </c>
      <c r="L47" s="39">
        <f>VLOOKUP(Table1[[#This Row],[Kode_Promo]],Table4[],2,FALSE)</f>
        <v>0</v>
      </c>
      <c r="M47" s="37">
        <f>Table1[[#This Row],[Jumlah_Unit]]*Table1[[#This Row],[Harga_Satuan]]</f>
        <v>12000000</v>
      </c>
      <c r="N47" s="37">
        <f>Table1[[#This Row],[Total_Pendapatan_Kotor]]*Table1[[#This Row],[Persentase_Diskon]]</f>
        <v>0</v>
      </c>
      <c r="O47" s="37">
        <f>Table1[[#This Row],[Total_Pendapatan_Kotor]]-Table1[[#This Row],[Potongan_Diskon]]</f>
        <v>12000000</v>
      </c>
      <c r="P47" s="37">
        <f>(Table1[[#This Row],[Jumlah_Unit]]*Table1[[#This Row],[HPP_Satuan]])+(Table1[[#This Row],[Jumlah_Unit]]*Table1[[#This Row],[Biaya_Kirim_Satuan]])</f>
        <v>8535000</v>
      </c>
      <c r="Q47" s="37">
        <f>Table1[[#This Row],[Total_Pendapatan_Bersih]]-Table1[[#This Row],[Total_Biaya]]</f>
        <v>3465000</v>
      </c>
      <c r="R47" s="5">
        <f>Table1[[#This Row],[Laba_Kotor]]/Table1[[#This Row],[Total_Pendapatan_Bersih]]</f>
        <v>0.28875000000000001</v>
      </c>
    </row>
    <row r="48" spans="1:18" ht="20.25" thickBot="1" x14ac:dyDescent="0.6">
      <c r="A48" s="3" t="s">
        <v>77</v>
      </c>
      <c r="B48" s="21">
        <v>45704</v>
      </c>
      <c r="C48" s="1" t="s">
        <v>27</v>
      </c>
      <c r="D48" s="1" t="s">
        <v>24</v>
      </c>
      <c r="E48" s="2">
        <v>5</v>
      </c>
      <c r="F48" s="1" t="s">
        <v>25</v>
      </c>
      <c r="G48" s="1" t="str">
        <f>INDEX(Table2[Nama Produk],MATCH(Table1[[#This Row],[SKU]],Table2[SKU],0))</f>
        <v>Mechanical Keyboard</v>
      </c>
      <c r="H48" s="1" t="str">
        <f>VLOOKUP(Table1[[#This Row],[SKU]],Table2[],3,FALSE)</f>
        <v>Aksesori</v>
      </c>
      <c r="I48" s="37">
        <f>INDEX(Table2[Harga Jual],MATCH(Table1[[#This Row],[SKU]],Table2[SKU],0))</f>
        <v>850000</v>
      </c>
      <c r="J48" s="37">
        <f>VLOOKUP(Table1[[#This Row],[SKU]],Table2[],4,FALSE)</f>
        <v>450000</v>
      </c>
      <c r="K48" s="37">
        <f>INDEX(Table3[Biaya Kirim per Unit],MATCH(Table1[[#This Row],[Kota]],Table3[Kota],))</f>
        <v>50000</v>
      </c>
      <c r="L48" s="39">
        <f>VLOOKUP(Table1[[#This Row],[Kode_Promo]],Table4[],2,FALSE)</f>
        <v>0.3</v>
      </c>
      <c r="M48" s="37">
        <f>Table1[[#This Row],[Jumlah_Unit]]*Table1[[#This Row],[Harga_Satuan]]</f>
        <v>4250000</v>
      </c>
      <c r="N48" s="37">
        <f>Table1[[#This Row],[Total_Pendapatan_Kotor]]*Table1[[#This Row],[Persentase_Diskon]]</f>
        <v>1275000</v>
      </c>
      <c r="O48" s="37">
        <f>Table1[[#This Row],[Total_Pendapatan_Kotor]]-Table1[[#This Row],[Potongan_Diskon]]</f>
        <v>2975000</v>
      </c>
      <c r="P48" s="37">
        <f>(Table1[[#This Row],[Jumlah_Unit]]*Table1[[#This Row],[HPP_Satuan]])+(Table1[[#This Row],[Jumlah_Unit]]*Table1[[#This Row],[Biaya_Kirim_Satuan]])</f>
        <v>2500000</v>
      </c>
      <c r="Q48" s="37">
        <f>Table1[[#This Row],[Total_Pendapatan_Bersih]]-Table1[[#This Row],[Total_Biaya]]</f>
        <v>475000</v>
      </c>
      <c r="R48" s="5">
        <f>Table1[[#This Row],[Laba_Kotor]]/Table1[[#This Row],[Total_Pendapatan_Bersih]]</f>
        <v>0.15966386554621848</v>
      </c>
    </row>
    <row r="49" spans="1:18" ht="20.25" thickBot="1" x14ac:dyDescent="0.6">
      <c r="A49" s="3" t="s">
        <v>78</v>
      </c>
      <c r="B49" s="21">
        <v>45705</v>
      </c>
      <c r="C49" s="1" t="s">
        <v>31</v>
      </c>
      <c r="D49" s="1" t="s">
        <v>35</v>
      </c>
      <c r="E49" s="2">
        <v>3</v>
      </c>
      <c r="F49" s="1" t="s">
        <v>33</v>
      </c>
      <c r="G49" s="1" t="str">
        <f>INDEX(Table2[Nama Produk],MATCH(Table1[[#This Row],[SKU]],Table2[SKU],0))</f>
        <v>Meja Adjustable</v>
      </c>
      <c r="H49" s="1" t="str">
        <f>VLOOKUP(Table1[[#This Row],[SKU]],Table2[],3,FALSE)</f>
        <v>Furnitur</v>
      </c>
      <c r="I49" s="37">
        <f>INDEX(Table2[Harga Jual],MATCH(Table1[[#This Row],[SKU]],Table2[SKU],0))</f>
        <v>4200000</v>
      </c>
      <c r="J49" s="37">
        <f>VLOOKUP(Table1[[#This Row],[SKU]],Table2[],4,FALSE)</f>
        <v>2400000</v>
      </c>
      <c r="K49" s="37">
        <f>INDEX(Table3[Biaya Kirim per Unit],MATCH(Table1[[#This Row],[Kota]],Table3[Kota],))</f>
        <v>65000</v>
      </c>
      <c r="L49" s="39">
        <f>VLOOKUP(Table1[[#This Row],[Kode_Promo]],Table4[],2,FALSE)</f>
        <v>0.2</v>
      </c>
      <c r="M49" s="37">
        <f>Table1[[#This Row],[Jumlah_Unit]]*Table1[[#This Row],[Harga_Satuan]]</f>
        <v>12600000</v>
      </c>
      <c r="N49" s="37">
        <f>Table1[[#This Row],[Total_Pendapatan_Kotor]]*Table1[[#This Row],[Persentase_Diskon]]</f>
        <v>2520000</v>
      </c>
      <c r="O49" s="37">
        <f>Table1[[#This Row],[Total_Pendapatan_Kotor]]-Table1[[#This Row],[Potongan_Diskon]]</f>
        <v>10080000</v>
      </c>
      <c r="P49" s="37">
        <f>(Table1[[#This Row],[Jumlah_Unit]]*Table1[[#This Row],[HPP_Satuan]])+(Table1[[#This Row],[Jumlah_Unit]]*Table1[[#This Row],[Biaya_Kirim_Satuan]])</f>
        <v>7395000</v>
      </c>
      <c r="Q49" s="37">
        <f>Table1[[#This Row],[Total_Pendapatan_Bersih]]-Table1[[#This Row],[Total_Biaya]]</f>
        <v>2685000</v>
      </c>
      <c r="R49" s="5">
        <f>Table1[[#This Row],[Laba_Kotor]]/Table1[[#This Row],[Total_Pendapatan_Bersih]]</f>
        <v>0.26636904761904762</v>
      </c>
    </row>
    <row r="50" spans="1:18" ht="20.25" thickBot="1" x14ac:dyDescent="0.6">
      <c r="A50" s="3" t="s">
        <v>79</v>
      </c>
      <c r="B50" s="21">
        <v>45706</v>
      </c>
      <c r="C50" s="1" t="s">
        <v>19</v>
      </c>
      <c r="D50" s="1" t="s">
        <v>32</v>
      </c>
      <c r="E50" s="2">
        <v>2</v>
      </c>
      <c r="F50" s="1" t="s">
        <v>21</v>
      </c>
      <c r="G50" s="1" t="str">
        <f>INDEX(Table2[Nama Produk],MATCH(Table1[[#This Row],[SKU]],Table2[SKU],0))</f>
        <v>Monitor Ergonomis 27</v>
      </c>
      <c r="H50" s="1" t="str">
        <f>VLOOKUP(Table1[[#This Row],[SKU]],Table2[],3,FALSE)</f>
        <v>Elektronik</v>
      </c>
      <c r="I50" s="37">
        <f>INDEX(Table2[Harga Jual],MATCH(Table1[[#This Row],[SKU]],Table2[SKU],0))</f>
        <v>3400000</v>
      </c>
      <c r="J50" s="37">
        <f>VLOOKUP(Table1[[#This Row],[SKU]],Table2[],4,FALSE)</f>
        <v>2100000</v>
      </c>
      <c r="K50" s="37">
        <f>INDEX(Table3[Biaya Kirim per Unit],MATCH(Table1[[#This Row],[Kota]],Table3[Kota],))</f>
        <v>25000</v>
      </c>
      <c r="L50" s="39">
        <f>VLOOKUP(Table1[[#This Row],[Kode_Promo]],Table4[],2,FALSE)</f>
        <v>0.1</v>
      </c>
      <c r="M50" s="37">
        <f>Table1[[#This Row],[Jumlah_Unit]]*Table1[[#This Row],[Harga_Satuan]]</f>
        <v>6800000</v>
      </c>
      <c r="N50" s="37">
        <f>Table1[[#This Row],[Total_Pendapatan_Kotor]]*Table1[[#This Row],[Persentase_Diskon]]</f>
        <v>680000</v>
      </c>
      <c r="O50" s="37">
        <f>Table1[[#This Row],[Total_Pendapatan_Kotor]]-Table1[[#This Row],[Potongan_Diskon]]</f>
        <v>6120000</v>
      </c>
      <c r="P50" s="37">
        <f>(Table1[[#This Row],[Jumlah_Unit]]*Table1[[#This Row],[HPP_Satuan]])+(Table1[[#This Row],[Jumlah_Unit]]*Table1[[#This Row],[Biaya_Kirim_Satuan]])</f>
        <v>4250000</v>
      </c>
      <c r="Q50" s="37">
        <f>Table1[[#This Row],[Total_Pendapatan_Bersih]]-Table1[[#This Row],[Total_Biaya]]</f>
        <v>1870000</v>
      </c>
      <c r="R50" s="5">
        <f>Table1[[#This Row],[Laba_Kotor]]/Table1[[#This Row],[Total_Pendapatan_Bersih]]</f>
        <v>0.30555555555555558</v>
      </c>
    </row>
    <row r="51" spans="1:18" ht="20.25" thickBot="1" x14ac:dyDescent="0.6">
      <c r="A51" s="3" t="s">
        <v>80</v>
      </c>
      <c r="B51" s="21">
        <v>45707</v>
      </c>
      <c r="C51" s="1" t="s">
        <v>23</v>
      </c>
      <c r="D51" s="1" t="s">
        <v>28</v>
      </c>
      <c r="E51" s="2">
        <v>4</v>
      </c>
      <c r="F51" s="1" t="s">
        <v>25</v>
      </c>
      <c r="G51" s="1" t="str">
        <f>INDEX(Table2[Nama Produk],MATCH(Table1[[#This Row],[SKU]],Table2[SKU],0))</f>
        <v>Kursi Kerja Ergonomis</v>
      </c>
      <c r="H51" s="1" t="str">
        <f>VLOOKUP(Table1[[#This Row],[SKU]],Table2[],3,FALSE)</f>
        <v>Furnitur</v>
      </c>
      <c r="I51" s="37">
        <f>INDEX(Table2[Harga Jual],MATCH(Table1[[#This Row],[SKU]],Table2[SKU],0))</f>
        <v>2100000</v>
      </c>
      <c r="J51" s="37">
        <f>VLOOKUP(Table1[[#This Row],[SKU]],Table2[],4,FALSE)</f>
        <v>1200000</v>
      </c>
      <c r="K51" s="37">
        <f>INDEX(Table3[Biaya Kirim per Unit],MATCH(Table1[[#This Row],[Kota]],Table3[Kota],))</f>
        <v>35000</v>
      </c>
      <c r="L51" s="39">
        <f>VLOOKUP(Table1[[#This Row],[Kode_Promo]],Table4[],2,FALSE)</f>
        <v>0.3</v>
      </c>
      <c r="M51" s="37">
        <f>Table1[[#This Row],[Jumlah_Unit]]*Table1[[#This Row],[Harga_Satuan]]</f>
        <v>8400000</v>
      </c>
      <c r="N51" s="37">
        <f>Table1[[#This Row],[Total_Pendapatan_Kotor]]*Table1[[#This Row],[Persentase_Diskon]]</f>
        <v>2520000</v>
      </c>
      <c r="O51" s="37">
        <f>Table1[[#This Row],[Total_Pendapatan_Kotor]]-Table1[[#This Row],[Potongan_Diskon]]</f>
        <v>5880000</v>
      </c>
      <c r="P51" s="37">
        <f>(Table1[[#This Row],[Jumlah_Unit]]*Table1[[#This Row],[HPP_Satuan]])+(Table1[[#This Row],[Jumlah_Unit]]*Table1[[#This Row],[Biaya_Kirim_Satuan]])</f>
        <v>4940000</v>
      </c>
      <c r="Q51" s="37">
        <f>Table1[[#This Row],[Total_Pendapatan_Bersih]]-Table1[[#This Row],[Total_Biaya]]</f>
        <v>940000</v>
      </c>
      <c r="R51" s="5">
        <f>Table1[[#This Row],[Laba_Kotor]]/Table1[[#This Row],[Total_Pendapatan_Bersih]]</f>
        <v>0.1598639455782313</v>
      </c>
    </row>
    <row r="52" spans="1:18" ht="20.25" thickBot="1" x14ac:dyDescent="0.6">
      <c r="A52" s="3" t="s">
        <v>81</v>
      </c>
      <c r="B52" s="21">
        <v>45708</v>
      </c>
      <c r="C52" s="1" t="s">
        <v>27</v>
      </c>
      <c r="D52" s="1" t="s">
        <v>20</v>
      </c>
      <c r="E52" s="2">
        <v>2</v>
      </c>
      <c r="F52" s="1" t="s">
        <v>29</v>
      </c>
      <c r="G52" s="1" t="str">
        <f>INDEX(Table2[Nama Produk],MATCH(Table1[[#This Row],[SKU]],Table2[SKU],0))</f>
        <v>Laptop Pro 14</v>
      </c>
      <c r="H52" s="1" t="str">
        <f>VLOOKUP(Table1[[#This Row],[SKU]],Table2[],3,FALSE)</f>
        <v>Elektronik</v>
      </c>
      <c r="I52" s="37">
        <f>INDEX(Table2[Harga Jual],MATCH(Table1[[#This Row],[SKU]],Table2[SKU],0))</f>
        <v>12000000</v>
      </c>
      <c r="J52" s="37">
        <f>VLOOKUP(Table1[[#This Row],[SKU]],Table2[],4,FALSE)</f>
        <v>8500000</v>
      </c>
      <c r="K52" s="37">
        <f>INDEX(Table3[Biaya Kirim per Unit],MATCH(Table1[[#This Row],[Kota]],Table3[Kota],))</f>
        <v>50000</v>
      </c>
      <c r="L52" s="39">
        <f>VLOOKUP(Table1[[#This Row],[Kode_Promo]],Table4[],2,FALSE)</f>
        <v>0</v>
      </c>
      <c r="M52" s="37">
        <f>Table1[[#This Row],[Jumlah_Unit]]*Table1[[#This Row],[Harga_Satuan]]</f>
        <v>24000000</v>
      </c>
      <c r="N52" s="37">
        <f>Table1[[#This Row],[Total_Pendapatan_Kotor]]*Table1[[#This Row],[Persentase_Diskon]]</f>
        <v>0</v>
      </c>
      <c r="O52" s="37">
        <f>Table1[[#This Row],[Total_Pendapatan_Kotor]]-Table1[[#This Row],[Potongan_Diskon]]</f>
        <v>24000000</v>
      </c>
      <c r="P52" s="37">
        <f>(Table1[[#This Row],[Jumlah_Unit]]*Table1[[#This Row],[HPP_Satuan]])+(Table1[[#This Row],[Jumlah_Unit]]*Table1[[#This Row],[Biaya_Kirim_Satuan]])</f>
        <v>17100000</v>
      </c>
      <c r="Q52" s="37">
        <f>Table1[[#This Row],[Total_Pendapatan_Bersih]]-Table1[[#This Row],[Total_Biaya]]</f>
        <v>6900000</v>
      </c>
      <c r="R52" s="5">
        <f>Table1[[#This Row],[Laba_Kotor]]/Table1[[#This Row],[Total_Pendapatan_Bersih]]</f>
        <v>0.28749999999999998</v>
      </c>
    </row>
    <row r="53" spans="1:18" ht="20.25" thickBot="1" x14ac:dyDescent="0.6">
      <c r="A53" s="3" t="s">
        <v>82</v>
      </c>
      <c r="B53" s="21">
        <v>45709</v>
      </c>
      <c r="C53" s="1" t="s">
        <v>31</v>
      </c>
      <c r="D53" s="1" t="s">
        <v>24</v>
      </c>
      <c r="E53" s="2">
        <v>7</v>
      </c>
      <c r="F53" s="1" t="s">
        <v>33</v>
      </c>
      <c r="G53" s="1" t="str">
        <f>INDEX(Table2[Nama Produk],MATCH(Table1[[#This Row],[SKU]],Table2[SKU],0))</f>
        <v>Mechanical Keyboard</v>
      </c>
      <c r="H53" s="1" t="str">
        <f>VLOOKUP(Table1[[#This Row],[SKU]],Table2[],3,FALSE)</f>
        <v>Aksesori</v>
      </c>
      <c r="I53" s="37">
        <f>INDEX(Table2[Harga Jual],MATCH(Table1[[#This Row],[SKU]],Table2[SKU],0))</f>
        <v>850000</v>
      </c>
      <c r="J53" s="37">
        <f>VLOOKUP(Table1[[#This Row],[SKU]],Table2[],4,FALSE)</f>
        <v>450000</v>
      </c>
      <c r="K53" s="37">
        <f>INDEX(Table3[Biaya Kirim per Unit],MATCH(Table1[[#This Row],[Kota]],Table3[Kota],))</f>
        <v>65000</v>
      </c>
      <c r="L53" s="39">
        <f>VLOOKUP(Table1[[#This Row],[Kode_Promo]],Table4[],2,FALSE)</f>
        <v>0.2</v>
      </c>
      <c r="M53" s="37">
        <f>Table1[[#This Row],[Jumlah_Unit]]*Table1[[#This Row],[Harga_Satuan]]</f>
        <v>5950000</v>
      </c>
      <c r="N53" s="37">
        <f>Table1[[#This Row],[Total_Pendapatan_Kotor]]*Table1[[#This Row],[Persentase_Diskon]]</f>
        <v>1190000</v>
      </c>
      <c r="O53" s="37">
        <f>Table1[[#This Row],[Total_Pendapatan_Kotor]]-Table1[[#This Row],[Potongan_Diskon]]</f>
        <v>4760000</v>
      </c>
      <c r="P53" s="37">
        <f>(Table1[[#This Row],[Jumlah_Unit]]*Table1[[#This Row],[HPP_Satuan]])+(Table1[[#This Row],[Jumlah_Unit]]*Table1[[#This Row],[Biaya_Kirim_Satuan]])</f>
        <v>3605000</v>
      </c>
      <c r="Q53" s="37">
        <f>Table1[[#This Row],[Total_Pendapatan_Bersih]]-Table1[[#This Row],[Total_Biaya]]</f>
        <v>1155000</v>
      </c>
      <c r="R53" s="5">
        <f>Table1[[#This Row],[Laba_Kotor]]/Table1[[#This Row],[Total_Pendapatan_Bersih]]</f>
        <v>0.24264705882352941</v>
      </c>
    </row>
    <row r="54" spans="1:18" ht="20.25" thickBot="1" x14ac:dyDescent="0.6">
      <c r="A54" s="3" t="s">
        <v>83</v>
      </c>
      <c r="B54" s="21">
        <v>45710</v>
      </c>
      <c r="C54" s="1" t="s">
        <v>19</v>
      </c>
      <c r="D54" s="1" t="s">
        <v>28</v>
      </c>
      <c r="E54" s="2">
        <v>3</v>
      </c>
      <c r="F54" s="1" t="s">
        <v>21</v>
      </c>
      <c r="G54" s="1" t="str">
        <f>INDEX(Table2[Nama Produk],MATCH(Table1[[#This Row],[SKU]],Table2[SKU],0))</f>
        <v>Kursi Kerja Ergonomis</v>
      </c>
      <c r="H54" s="1" t="str">
        <f>VLOOKUP(Table1[[#This Row],[SKU]],Table2[],3,FALSE)</f>
        <v>Furnitur</v>
      </c>
      <c r="I54" s="37">
        <f>INDEX(Table2[Harga Jual],MATCH(Table1[[#This Row],[SKU]],Table2[SKU],0))</f>
        <v>2100000</v>
      </c>
      <c r="J54" s="37">
        <f>VLOOKUP(Table1[[#This Row],[SKU]],Table2[],4,FALSE)</f>
        <v>1200000</v>
      </c>
      <c r="K54" s="37">
        <f>INDEX(Table3[Biaya Kirim per Unit],MATCH(Table1[[#This Row],[Kota]],Table3[Kota],))</f>
        <v>25000</v>
      </c>
      <c r="L54" s="39">
        <f>VLOOKUP(Table1[[#This Row],[Kode_Promo]],Table4[],2,FALSE)</f>
        <v>0.1</v>
      </c>
      <c r="M54" s="37">
        <f>Table1[[#This Row],[Jumlah_Unit]]*Table1[[#This Row],[Harga_Satuan]]</f>
        <v>6300000</v>
      </c>
      <c r="N54" s="37">
        <f>Table1[[#This Row],[Total_Pendapatan_Kotor]]*Table1[[#This Row],[Persentase_Diskon]]</f>
        <v>630000</v>
      </c>
      <c r="O54" s="37">
        <f>Table1[[#This Row],[Total_Pendapatan_Kotor]]-Table1[[#This Row],[Potongan_Diskon]]</f>
        <v>5670000</v>
      </c>
      <c r="P54" s="37">
        <f>(Table1[[#This Row],[Jumlah_Unit]]*Table1[[#This Row],[HPP_Satuan]])+(Table1[[#This Row],[Jumlah_Unit]]*Table1[[#This Row],[Biaya_Kirim_Satuan]])</f>
        <v>3675000</v>
      </c>
      <c r="Q54" s="37">
        <f>Table1[[#This Row],[Total_Pendapatan_Bersih]]-Table1[[#This Row],[Total_Biaya]]</f>
        <v>1995000</v>
      </c>
      <c r="R54" s="5">
        <f>Table1[[#This Row],[Laba_Kotor]]/Table1[[#This Row],[Total_Pendapatan_Bersih]]</f>
        <v>0.35185185185185186</v>
      </c>
    </row>
    <row r="55" spans="1:18" ht="20.25" thickBot="1" x14ac:dyDescent="0.6">
      <c r="A55" s="3" t="s">
        <v>84</v>
      </c>
      <c r="B55" s="21">
        <v>45711</v>
      </c>
      <c r="C55" s="1" t="s">
        <v>23</v>
      </c>
      <c r="D55" s="1" t="s">
        <v>32</v>
      </c>
      <c r="E55" s="2">
        <v>1</v>
      </c>
      <c r="F55" s="1" t="s">
        <v>25</v>
      </c>
      <c r="G55" s="1" t="str">
        <f>INDEX(Table2[Nama Produk],MATCH(Table1[[#This Row],[SKU]],Table2[SKU],0))</f>
        <v>Monitor Ergonomis 27</v>
      </c>
      <c r="H55" s="1" t="str">
        <f>VLOOKUP(Table1[[#This Row],[SKU]],Table2[],3,FALSE)</f>
        <v>Elektronik</v>
      </c>
      <c r="I55" s="37">
        <f>INDEX(Table2[Harga Jual],MATCH(Table1[[#This Row],[SKU]],Table2[SKU],0))</f>
        <v>3400000</v>
      </c>
      <c r="J55" s="37">
        <f>VLOOKUP(Table1[[#This Row],[SKU]],Table2[],4,FALSE)</f>
        <v>2100000</v>
      </c>
      <c r="K55" s="37">
        <f>INDEX(Table3[Biaya Kirim per Unit],MATCH(Table1[[#This Row],[Kota]],Table3[Kota],))</f>
        <v>35000</v>
      </c>
      <c r="L55" s="39">
        <f>VLOOKUP(Table1[[#This Row],[Kode_Promo]],Table4[],2,FALSE)</f>
        <v>0.3</v>
      </c>
      <c r="M55" s="37">
        <f>Table1[[#This Row],[Jumlah_Unit]]*Table1[[#This Row],[Harga_Satuan]]</f>
        <v>3400000</v>
      </c>
      <c r="N55" s="37">
        <f>Table1[[#This Row],[Total_Pendapatan_Kotor]]*Table1[[#This Row],[Persentase_Diskon]]</f>
        <v>1020000</v>
      </c>
      <c r="O55" s="37">
        <f>Table1[[#This Row],[Total_Pendapatan_Kotor]]-Table1[[#This Row],[Potongan_Diskon]]</f>
        <v>2380000</v>
      </c>
      <c r="P55" s="37">
        <f>(Table1[[#This Row],[Jumlah_Unit]]*Table1[[#This Row],[HPP_Satuan]])+(Table1[[#This Row],[Jumlah_Unit]]*Table1[[#This Row],[Biaya_Kirim_Satuan]])</f>
        <v>2135000</v>
      </c>
      <c r="Q55" s="37">
        <f>Table1[[#This Row],[Total_Pendapatan_Bersih]]-Table1[[#This Row],[Total_Biaya]]</f>
        <v>245000</v>
      </c>
      <c r="R55" s="5">
        <f>Table1[[#This Row],[Laba_Kotor]]/Table1[[#This Row],[Total_Pendapatan_Bersih]]</f>
        <v>0.10294117647058823</v>
      </c>
    </row>
    <row r="56" spans="1:18" ht="20.25" thickBot="1" x14ac:dyDescent="0.6">
      <c r="A56" s="3" t="s">
        <v>85</v>
      </c>
      <c r="B56" s="21">
        <v>45712</v>
      </c>
      <c r="C56" s="1" t="s">
        <v>27</v>
      </c>
      <c r="D56" s="1" t="s">
        <v>35</v>
      </c>
      <c r="E56" s="2">
        <v>2</v>
      </c>
      <c r="F56" s="1" t="s">
        <v>29</v>
      </c>
      <c r="G56" s="1" t="str">
        <f>INDEX(Table2[Nama Produk],MATCH(Table1[[#This Row],[SKU]],Table2[SKU],0))</f>
        <v>Meja Adjustable</v>
      </c>
      <c r="H56" s="1" t="str">
        <f>VLOOKUP(Table1[[#This Row],[SKU]],Table2[],3,FALSE)</f>
        <v>Furnitur</v>
      </c>
      <c r="I56" s="37">
        <f>INDEX(Table2[Harga Jual],MATCH(Table1[[#This Row],[SKU]],Table2[SKU],0))</f>
        <v>4200000</v>
      </c>
      <c r="J56" s="37">
        <f>VLOOKUP(Table1[[#This Row],[SKU]],Table2[],4,FALSE)</f>
        <v>2400000</v>
      </c>
      <c r="K56" s="37">
        <f>INDEX(Table3[Biaya Kirim per Unit],MATCH(Table1[[#This Row],[Kota]],Table3[Kota],))</f>
        <v>50000</v>
      </c>
      <c r="L56" s="39">
        <f>VLOOKUP(Table1[[#This Row],[Kode_Promo]],Table4[],2,FALSE)</f>
        <v>0</v>
      </c>
      <c r="M56" s="37">
        <f>Table1[[#This Row],[Jumlah_Unit]]*Table1[[#This Row],[Harga_Satuan]]</f>
        <v>8400000</v>
      </c>
      <c r="N56" s="37">
        <f>Table1[[#This Row],[Total_Pendapatan_Kotor]]*Table1[[#This Row],[Persentase_Diskon]]</f>
        <v>0</v>
      </c>
      <c r="O56" s="37">
        <f>Table1[[#This Row],[Total_Pendapatan_Kotor]]-Table1[[#This Row],[Potongan_Diskon]]</f>
        <v>8400000</v>
      </c>
      <c r="P56" s="37">
        <f>(Table1[[#This Row],[Jumlah_Unit]]*Table1[[#This Row],[HPP_Satuan]])+(Table1[[#This Row],[Jumlah_Unit]]*Table1[[#This Row],[Biaya_Kirim_Satuan]])</f>
        <v>4900000</v>
      </c>
      <c r="Q56" s="37">
        <f>Table1[[#This Row],[Total_Pendapatan_Bersih]]-Table1[[#This Row],[Total_Biaya]]</f>
        <v>3500000</v>
      </c>
      <c r="R56" s="5">
        <f>Table1[[#This Row],[Laba_Kotor]]/Table1[[#This Row],[Total_Pendapatan_Bersih]]</f>
        <v>0.41666666666666669</v>
      </c>
    </row>
    <row r="57" spans="1:18" ht="20.25" thickBot="1" x14ac:dyDescent="0.6">
      <c r="A57" s="3" t="s">
        <v>86</v>
      </c>
      <c r="B57" s="21">
        <v>45713</v>
      </c>
      <c r="C57" s="1" t="s">
        <v>31</v>
      </c>
      <c r="D57" s="1" t="s">
        <v>20</v>
      </c>
      <c r="E57" s="2">
        <v>3</v>
      </c>
      <c r="F57" s="1" t="s">
        <v>33</v>
      </c>
      <c r="G57" s="1" t="str">
        <f>INDEX(Table2[Nama Produk],MATCH(Table1[[#This Row],[SKU]],Table2[SKU],0))</f>
        <v>Laptop Pro 14</v>
      </c>
      <c r="H57" s="1" t="str">
        <f>VLOOKUP(Table1[[#This Row],[SKU]],Table2[],3,FALSE)</f>
        <v>Elektronik</v>
      </c>
      <c r="I57" s="37">
        <f>INDEX(Table2[Harga Jual],MATCH(Table1[[#This Row],[SKU]],Table2[SKU],0))</f>
        <v>12000000</v>
      </c>
      <c r="J57" s="37">
        <f>VLOOKUP(Table1[[#This Row],[SKU]],Table2[],4,FALSE)</f>
        <v>8500000</v>
      </c>
      <c r="K57" s="37">
        <f>INDEX(Table3[Biaya Kirim per Unit],MATCH(Table1[[#This Row],[Kota]],Table3[Kota],))</f>
        <v>65000</v>
      </c>
      <c r="L57" s="39">
        <f>VLOOKUP(Table1[[#This Row],[Kode_Promo]],Table4[],2,FALSE)</f>
        <v>0.2</v>
      </c>
      <c r="M57" s="37">
        <f>Table1[[#This Row],[Jumlah_Unit]]*Table1[[#This Row],[Harga_Satuan]]</f>
        <v>36000000</v>
      </c>
      <c r="N57" s="37">
        <f>Table1[[#This Row],[Total_Pendapatan_Kotor]]*Table1[[#This Row],[Persentase_Diskon]]</f>
        <v>7200000</v>
      </c>
      <c r="O57" s="37">
        <f>Table1[[#This Row],[Total_Pendapatan_Kotor]]-Table1[[#This Row],[Potongan_Diskon]]</f>
        <v>28800000</v>
      </c>
      <c r="P57" s="37">
        <f>(Table1[[#This Row],[Jumlah_Unit]]*Table1[[#This Row],[HPP_Satuan]])+(Table1[[#This Row],[Jumlah_Unit]]*Table1[[#This Row],[Biaya_Kirim_Satuan]])</f>
        <v>25695000</v>
      </c>
      <c r="Q57" s="37">
        <f>Table1[[#This Row],[Total_Pendapatan_Bersih]]-Table1[[#This Row],[Total_Biaya]]</f>
        <v>3105000</v>
      </c>
      <c r="R57" s="5">
        <f>Table1[[#This Row],[Laba_Kotor]]/Table1[[#This Row],[Total_Pendapatan_Bersih]]</f>
        <v>0.10781250000000001</v>
      </c>
    </row>
    <row r="58" spans="1:18" ht="20.25" thickBot="1" x14ac:dyDescent="0.6">
      <c r="A58" s="3" t="s">
        <v>87</v>
      </c>
      <c r="B58" s="21">
        <v>45714</v>
      </c>
      <c r="C58" s="1" t="s">
        <v>19</v>
      </c>
      <c r="D58" s="1" t="s">
        <v>24</v>
      </c>
      <c r="E58" s="2">
        <v>4</v>
      </c>
      <c r="F58" s="1" t="s">
        <v>21</v>
      </c>
      <c r="G58" s="1" t="str">
        <f>INDEX(Table2[Nama Produk],MATCH(Table1[[#This Row],[SKU]],Table2[SKU],0))</f>
        <v>Mechanical Keyboard</v>
      </c>
      <c r="H58" s="1" t="str">
        <f>VLOOKUP(Table1[[#This Row],[SKU]],Table2[],3,FALSE)</f>
        <v>Aksesori</v>
      </c>
      <c r="I58" s="37">
        <f>INDEX(Table2[Harga Jual],MATCH(Table1[[#This Row],[SKU]],Table2[SKU],0))</f>
        <v>850000</v>
      </c>
      <c r="J58" s="37">
        <f>VLOOKUP(Table1[[#This Row],[SKU]],Table2[],4,FALSE)</f>
        <v>450000</v>
      </c>
      <c r="K58" s="37">
        <f>INDEX(Table3[Biaya Kirim per Unit],MATCH(Table1[[#This Row],[Kota]],Table3[Kota],))</f>
        <v>25000</v>
      </c>
      <c r="L58" s="39">
        <f>VLOOKUP(Table1[[#This Row],[Kode_Promo]],Table4[],2,FALSE)</f>
        <v>0.1</v>
      </c>
      <c r="M58" s="37">
        <f>Table1[[#This Row],[Jumlah_Unit]]*Table1[[#This Row],[Harga_Satuan]]</f>
        <v>3400000</v>
      </c>
      <c r="N58" s="37">
        <f>Table1[[#This Row],[Total_Pendapatan_Kotor]]*Table1[[#This Row],[Persentase_Diskon]]</f>
        <v>340000</v>
      </c>
      <c r="O58" s="37">
        <f>Table1[[#This Row],[Total_Pendapatan_Kotor]]-Table1[[#This Row],[Potongan_Diskon]]</f>
        <v>3060000</v>
      </c>
      <c r="P58" s="37">
        <f>(Table1[[#This Row],[Jumlah_Unit]]*Table1[[#This Row],[HPP_Satuan]])+(Table1[[#This Row],[Jumlah_Unit]]*Table1[[#This Row],[Biaya_Kirim_Satuan]])</f>
        <v>1900000</v>
      </c>
      <c r="Q58" s="37">
        <f>Table1[[#This Row],[Total_Pendapatan_Bersih]]-Table1[[#This Row],[Total_Biaya]]</f>
        <v>1160000</v>
      </c>
      <c r="R58" s="5">
        <f>Table1[[#This Row],[Laba_Kotor]]/Table1[[#This Row],[Total_Pendapatan_Bersih]]</f>
        <v>0.37908496732026142</v>
      </c>
    </row>
    <row r="59" spans="1:18" ht="20.25" thickBot="1" x14ac:dyDescent="0.6">
      <c r="A59" s="3" t="s">
        <v>88</v>
      </c>
      <c r="B59" s="21">
        <v>45715</v>
      </c>
      <c r="C59" s="1" t="s">
        <v>23</v>
      </c>
      <c r="D59" s="1" t="s">
        <v>35</v>
      </c>
      <c r="E59" s="2">
        <v>1</v>
      </c>
      <c r="F59" s="1" t="s">
        <v>25</v>
      </c>
      <c r="G59" s="1" t="str">
        <f>INDEX(Table2[Nama Produk],MATCH(Table1[[#This Row],[SKU]],Table2[SKU],0))</f>
        <v>Meja Adjustable</v>
      </c>
      <c r="H59" s="1" t="str">
        <f>VLOOKUP(Table1[[#This Row],[SKU]],Table2[],3,FALSE)</f>
        <v>Furnitur</v>
      </c>
      <c r="I59" s="37">
        <f>INDEX(Table2[Harga Jual],MATCH(Table1[[#This Row],[SKU]],Table2[SKU],0))</f>
        <v>4200000</v>
      </c>
      <c r="J59" s="37">
        <f>VLOOKUP(Table1[[#This Row],[SKU]],Table2[],4,FALSE)</f>
        <v>2400000</v>
      </c>
      <c r="K59" s="37">
        <f>INDEX(Table3[Biaya Kirim per Unit],MATCH(Table1[[#This Row],[Kota]],Table3[Kota],))</f>
        <v>35000</v>
      </c>
      <c r="L59" s="39">
        <f>VLOOKUP(Table1[[#This Row],[Kode_Promo]],Table4[],2,FALSE)</f>
        <v>0.3</v>
      </c>
      <c r="M59" s="37">
        <f>Table1[[#This Row],[Jumlah_Unit]]*Table1[[#This Row],[Harga_Satuan]]</f>
        <v>4200000</v>
      </c>
      <c r="N59" s="37">
        <f>Table1[[#This Row],[Total_Pendapatan_Kotor]]*Table1[[#This Row],[Persentase_Diskon]]</f>
        <v>1260000</v>
      </c>
      <c r="O59" s="37">
        <f>Table1[[#This Row],[Total_Pendapatan_Kotor]]-Table1[[#This Row],[Potongan_Diskon]]</f>
        <v>2940000</v>
      </c>
      <c r="P59" s="37">
        <f>(Table1[[#This Row],[Jumlah_Unit]]*Table1[[#This Row],[HPP_Satuan]])+(Table1[[#This Row],[Jumlah_Unit]]*Table1[[#This Row],[Biaya_Kirim_Satuan]])</f>
        <v>2435000</v>
      </c>
      <c r="Q59" s="37">
        <f>Table1[[#This Row],[Total_Pendapatan_Bersih]]-Table1[[#This Row],[Total_Biaya]]</f>
        <v>505000</v>
      </c>
      <c r="R59" s="5">
        <f>Table1[[#This Row],[Laba_Kotor]]/Table1[[#This Row],[Total_Pendapatan_Bersih]]</f>
        <v>0.17176870748299319</v>
      </c>
    </row>
    <row r="60" spans="1:18" ht="20.25" thickBot="1" x14ac:dyDescent="0.6">
      <c r="A60" s="3" t="s">
        <v>89</v>
      </c>
      <c r="B60" s="21">
        <v>45716</v>
      </c>
      <c r="C60" s="1" t="s">
        <v>27</v>
      </c>
      <c r="D60" s="1" t="s">
        <v>32</v>
      </c>
      <c r="E60" s="2">
        <v>6</v>
      </c>
      <c r="F60" s="1" t="s">
        <v>29</v>
      </c>
      <c r="G60" s="1" t="str">
        <f>INDEX(Table2[Nama Produk],MATCH(Table1[[#This Row],[SKU]],Table2[SKU],0))</f>
        <v>Monitor Ergonomis 27</v>
      </c>
      <c r="H60" s="1" t="str">
        <f>VLOOKUP(Table1[[#This Row],[SKU]],Table2[],3,FALSE)</f>
        <v>Elektronik</v>
      </c>
      <c r="I60" s="37">
        <f>INDEX(Table2[Harga Jual],MATCH(Table1[[#This Row],[SKU]],Table2[SKU],0))</f>
        <v>3400000</v>
      </c>
      <c r="J60" s="37">
        <f>VLOOKUP(Table1[[#This Row],[SKU]],Table2[],4,FALSE)</f>
        <v>2100000</v>
      </c>
      <c r="K60" s="37">
        <f>INDEX(Table3[Biaya Kirim per Unit],MATCH(Table1[[#This Row],[Kota]],Table3[Kota],))</f>
        <v>50000</v>
      </c>
      <c r="L60" s="39">
        <f>VLOOKUP(Table1[[#This Row],[Kode_Promo]],Table4[],2,FALSE)</f>
        <v>0</v>
      </c>
      <c r="M60" s="37">
        <f>Table1[[#This Row],[Jumlah_Unit]]*Table1[[#This Row],[Harga_Satuan]]</f>
        <v>20400000</v>
      </c>
      <c r="N60" s="37">
        <f>Table1[[#This Row],[Total_Pendapatan_Kotor]]*Table1[[#This Row],[Persentase_Diskon]]</f>
        <v>0</v>
      </c>
      <c r="O60" s="37">
        <f>Table1[[#This Row],[Total_Pendapatan_Kotor]]-Table1[[#This Row],[Potongan_Diskon]]</f>
        <v>20400000</v>
      </c>
      <c r="P60" s="37">
        <f>(Table1[[#This Row],[Jumlah_Unit]]*Table1[[#This Row],[HPP_Satuan]])+(Table1[[#This Row],[Jumlah_Unit]]*Table1[[#This Row],[Biaya_Kirim_Satuan]])</f>
        <v>12900000</v>
      </c>
      <c r="Q60" s="37">
        <f>Table1[[#This Row],[Total_Pendapatan_Bersih]]-Table1[[#This Row],[Total_Biaya]]</f>
        <v>7500000</v>
      </c>
      <c r="R60" s="5">
        <f>Table1[[#This Row],[Laba_Kotor]]/Table1[[#This Row],[Total_Pendapatan_Bersih]]</f>
        <v>0.36764705882352944</v>
      </c>
    </row>
    <row r="61" spans="1:18" ht="20.25" thickBot="1" x14ac:dyDescent="0.6">
      <c r="A61" s="3" t="s">
        <v>90</v>
      </c>
      <c r="B61" s="21">
        <v>45717</v>
      </c>
      <c r="C61" s="1" t="s">
        <v>31</v>
      </c>
      <c r="D61" s="1" t="s">
        <v>28</v>
      </c>
      <c r="E61" s="2">
        <v>2</v>
      </c>
      <c r="F61" s="1" t="s">
        <v>33</v>
      </c>
      <c r="G61" s="1" t="str">
        <f>INDEX(Table2[Nama Produk],MATCH(Table1[[#This Row],[SKU]],Table2[SKU],0))</f>
        <v>Kursi Kerja Ergonomis</v>
      </c>
      <c r="H61" s="1" t="str">
        <f>VLOOKUP(Table1[[#This Row],[SKU]],Table2[],3,FALSE)</f>
        <v>Furnitur</v>
      </c>
      <c r="I61" s="37">
        <f>INDEX(Table2[Harga Jual],MATCH(Table1[[#This Row],[SKU]],Table2[SKU],0))</f>
        <v>2100000</v>
      </c>
      <c r="J61" s="37">
        <f>VLOOKUP(Table1[[#This Row],[SKU]],Table2[],4,FALSE)</f>
        <v>1200000</v>
      </c>
      <c r="K61" s="37">
        <f>INDEX(Table3[Biaya Kirim per Unit],MATCH(Table1[[#This Row],[Kota]],Table3[Kota],))</f>
        <v>65000</v>
      </c>
      <c r="L61" s="39">
        <f>VLOOKUP(Table1[[#This Row],[Kode_Promo]],Table4[],2,FALSE)</f>
        <v>0.2</v>
      </c>
      <c r="M61" s="37">
        <f>Table1[[#This Row],[Jumlah_Unit]]*Table1[[#This Row],[Harga_Satuan]]</f>
        <v>4200000</v>
      </c>
      <c r="N61" s="37">
        <f>Table1[[#This Row],[Total_Pendapatan_Kotor]]*Table1[[#This Row],[Persentase_Diskon]]</f>
        <v>840000</v>
      </c>
      <c r="O61" s="37">
        <f>Table1[[#This Row],[Total_Pendapatan_Kotor]]-Table1[[#This Row],[Potongan_Diskon]]</f>
        <v>3360000</v>
      </c>
      <c r="P61" s="37">
        <f>(Table1[[#This Row],[Jumlah_Unit]]*Table1[[#This Row],[HPP_Satuan]])+(Table1[[#This Row],[Jumlah_Unit]]*Table1[[#This Row],[Biaya_Kirim_Satuan]])</f>
        <v>2530000</v>
      </c>
      <c r="Q61" s="37">
        <f>Table1[[#This Row],[Total_Pendapatan_Bersih]]-Table1[[#This Row],[Total_Biaya]]</f>
        <v>830000</v>
      </c>
      <c r="R61" s="5">
        <f>Table1[[#This Row],[Laba_Kotor]]/Table1[[#This Row],[Total_Pendapatan_Bersih]]</f>
        <v>0.24702380952380953</v>
      </c>
    </row>
    <row r="62" spans="1:18" ht="20.25" thickBot="1" x14ac:dyDescent="0.6">
      <c r="A62" s="3" t="s">
        <v>91</v>
      </c>
      <c r="B62" s="21">
        <v>45718</v>
      </c>
      <c r="C62" s="1" t="s">
        <v>19</v>
      </c>
      <c r="D62" s="1" t="s">
        <v>20</v>
      </c>
      <c r="E62" s="2">
        <v>2</v>
      </c>
      <c r="F62" s="1" t="s">
        <v>21</v>
      </c>
      <c r="G62" s="1" t="str">
        <f>INDEX(Table2[Nama Produk],MATCH(Table1[[#This Row],[SKU]],Table2[SKU],0))</f>
        <v>Laptop Pro 14</v>
      </c>
      <c r="H62" s="1" t="str">
        <f>VLOOKUP(Table1[[#This Row],[SKU]],Table2[],3,FALSE)</f>
        <v>Elektronik</v>
      </c>
      <c r="I62" s="37">
        <f>INDEX(Table2[Harga Jual],MATCH(Table1[[#This Row],[SKU]],Table2[SKU],0))</f>
        <v>12000000</v>
      </c>
      <c r="J62" s="37">
        <f>VLOOKUP(Table1[[#This Row],[SKU]],Table2[],4,FALSE)</f>
        <v>8500000</v>
      </c>
      <c r="K62" s="37">
        <f>INDEX(Table3[Biaya Kirim per Unit],MATCH(Table1[[#This Row],[Kota]],Table3[Kota],))</f>
        <v>25000</v>
      </c>
      <c r="L62" s="39">
        <f>VLOOKUP(Table1[[#This Row],[Kode_Promo]],Table4[],2,FALSE)</f>
        <v>0.1</v>
      </c>
      <c r="M62" s="37">
        <f>Table1[[#This Row],[Jumlah_Unit]]*Table1[[#This Row],[Harga_Satuan]]</f>
        <v>24000000</v>
      </c>
      <c r="N62" s="37">
        <f>Table1[[#This Row],[Total_Pendapatan_Kotor]]*Table1[[#This Row],[Persentase_Diskon]]</f>
        <v>2400000</v>
      </c>
      <c r="O62" s="37">
        <f>Table1[[#This Row],[Total_Pendapatan_Kotor]]-Table1[[#This Row],[Potongan_Diskon]]</f>
        <v>21600000</v>
      </c>
      <c r="P62" s="37">
        <f>(Table1[[#This Row],[Jumlah_Unit]]*Table1[[#This Row],[HPP_Satuan]])+(Table1[[#This Row],[Jumlah_Unit]]*Table1[[#This Row],[Biaya_Kirim_Satuan]])</f>
        <v>17050000</v>
      </c>
      <c r="Q62" s="37">
        <f>Table1[[#This Row],[Total_Pendapatan_Bersih]]-Table1[[#This Row],[Total_Biaya]]</f>
        <v>4550000</v>
      </c>
      <c r="R62" s="5">
        <f>Table1[[#This Row],[Laba_Kotor]]/Table1[[#This Row],[Total_Pendapatan_Bersih]]</f>
        <v>0.21064814814814814</v>
      </c>
    </row>
    <row r="63" spans="1:18" ht="20.25" thickBot="1" x14ac:dyDescent="0.6">
      <c r="A63" s="3" t="s">
        <v>92</v>
      </c>
      <c r="B63" s="21">
        <v>45719</v>
      </c>
      <c r="C63" s="1" t="s">
        <v>23</v>
      </c>
      <c r="D63" s="1" t="s">
        <v>24</v>
      </c>
      <c r="E63" s="2">
        <v>6</v>
      </c>
      <c r="F63" s="1" t="s">
        <v>25</v>
      </c>
      <c r="G63" s="1" t="str">
        <f>INDEX(Table2[Nama Produk],MATCH(Table1[[#This Row],[SKU]],Table2[SKU],0))</f>
        <v>Mechanical Keyboard</v>
      </c>
      <c r="H63" s="1" t="str">
        <f>VLOOKUP(Table1[[#This Row],[SKU]],Table2[],3,FALSE)</f>
        <v>Aksesori</v>
      </c>
      <c r="I63" s="37">
        <f>INDEX(Table2[Harga Jual],MATCH(Table1[[#This Row],[SKU]],Table2[SKU],0))</f>
        <v>850000</v>
      </c>
      <c r="J63" s="37">
        <f>VLOOKUP(Table1[[#This Row],[SKU]],Table2[],4,FALSE)</f>
        <v>450000</v>
      </c>
      <c r="K63" s="37">
        <f>INDEX(Table3[Biaya Kirim per Unit],MATCH(Table1[[#This Row],[Kota]],Table3[Kota],))</f>
        <v>35000</v>
      </c>
      <c r="L63" s="39">
        <f>VLOOKUP(Table1[[#This Row],[Kode_Promo]],Table4[],2,FALSE)</f>
        <v>0.3</v>
      </c>
      <c r="M63" s="37">
        <f>Table1[[#This Row],[Jumlah_Unit]]*Table1[[#This Row],[Harga_Satuan]]</f>
        <v>5100000</v>
      </c>
      <c r="N63" s="37">
        <f>Table1[[#This Row],[Total_Pendapatan_Kotor]]*Table1[[#This Row],[Persentase_Diskon]]</f>
        <v>1530000</v>
      </c>
      <c r="O63" s="37">
        <f>Table1[[#This Row],[Total_Pendapatan_Kotor]]-Table1[[#This Row],[Potongan_Diskon]]</f>
        <v>3570000</v>
      </c>
      <c r="P63" s="37">
        <f>(Table1[[#This Row],[Jumlah_Unit]]*Table1[[#This Row],[HPP_Satuan]])+(Table1[[#This Row],[Jumlah_Unit]]*Table1[[#This Row],[Biaya_Kirim_Satuan]])</f>
        <v>2910000</v>
      </c>
      <c r="Q63" s="37">
        <f>Table1[[#This Row],[Total_Pendapatan_Bersih]]-Table1[[#This Row],[Total_Biaya]]</f>
        <v>660000</v>
      </c>
      <c r="R63" s="5">
        <f>Table1[[#This Row],[Laba_Kotor]]/Table1[[#This Row],[Total_Pendapatan_Bersih]]</f>
        <v>0.18487394957983194</v>
      </c>
    </row>
    <row r="64" spans="1:18" ht="20.25" thickBot="1" x14ac:dyDescent="0.6">
      <c r="A64" s="3" t="s">
        <v>93</v>
      </c>
      <c r="B64" s="21">
        <v>45720</v>
      </c>
      <c r="C64" s="1" t="s">
        <v>27</v>
      </c>
      <c r="D64" s="1" t="s">
        <v>28</v>
      </c>
      <c r="E64" s="2">
        <v>3</v>
      </c>
      <c r="F64" s="1" t="s">
        <v>29</v>
      </c>
      <c r="G64" s="1" t="str">
        <f>INDEX(Table2[Nama Produk],MATCH(Table1[[#This Row],[SKU]],Table2[SKU],0))</f>
        <v>Kursi Kerja Ergonomis</v>
      </c>
      <c r="H64" s="1" t="str">
        <f>VLOOKUP(Table1[[#This Row],[SKU]],Table2[],3,FALSE)</f>
        <v>Furnitur</v>
      </c>
      <c r="I64" s="37">
        <f>INDEX(Table2[Harga Jual],MATCH(Table1[[#This Row],[SKU]],Table2[SKU],0))</f>
        <v>2100000</v>
      </c>
      <c r="J64" s="37">
        <f>VLOOKUP(Table1[[#This Row],[SKU]],Table2[],4,FALSE)</f>
        <v>1200000</v>
      </c>
      <c r="K64" s="37">
        <f>INDEX(Table3[Biaya Kirim per Unit],MATCH(Table1[[#This Row],[Kota]],Table3[Kota],))</f>
        <v>50000</v>
      </c>
      <c r="L64" s="39">
        <f>VLOOKUP(Table1[[#This Row],[Kode_Promo]],Table4[],2,FALSE)</f>
        <v>0</v>
      </c>
      <c r="M64" s="37">
        <f>Table1[[#This Row],[Jumlah_Unit]]*Table1[[#This Row],[Harga_Satuan]]</f>
        <v>6300000</v>
      </c>
      <c r="N64" s="37">
        <f>Table1[[#This Row],[Total_Pendapatan_Kotor]]*Table1[[#This Row],[Persentase_Diskon]]</f>
        <v>0</v>
      </c>
      <c r="O64" s="37">
        <f>Table1[[#This Row],[Total_Pendapatan_Kotor]]-Table1[[#This Row],[Potongan_Diskon]]</f>
        <v>6300000</v>
      </c>
      <c r="P64" s="37">
        <f>(Table1[[#This Row],[Jumlah_Unit]]*Table1[[#This Row],[HPP_Satuan]])+(Table1[[#This Row],[Jumlah_Unit]]*Table1[[#This Row],[Biaya_Kirim_Satuan]])</f>
        <v>3750000</v>
      </c>
      <c r="Q64" s="37">
        <f>Table1[[#This Row],[Total_Pendapatan_Bersih]]-Table1[[#This Row],[Total_Biaya]]</f>
        <v>2550000</v>
      </c>
      <c r="R64" s="5">
        <f>Table1[[#This Row],[Laba_Kotor]]/Table1[[#This Row],[Total_Pendapatan_Bersih]]</f>
        <v>0.40476190476190477</v>
      </c>
    </row>
    <row r="65" spans="1:18" ht="20.25" thickBot="1" x14ac:dyDescent="0.6">
      <c r="A65" s="3" t="s">
        <v>94</v>
      </c>
      <c r="B65" s="21">
        <v>45721</v>
      </c>
      <c r="C65" s="1" t="s">
        <v>31</v>
      </c>
      <c r="D65" s="1" t="s">
        <v>32</v>
      </c>
      <c r="E65" s="2">
        <v>4</v>
      </c>
      <c r="F65" s="1" t="s">
        <v>33</v>
      </c>
      <c r="G65" s="1" t="str">
        <f>INDEX(Table2[Nama Produk],MATCH(Table1[[#This Row],[SKU]],Table2[SKU],0))</f>
        <v>Monitor Ergonomis 27</v>
      </c>
      <c r="H65" s="1" t="str">
        <f>VLOOKUP(Table1[[#This Row],[SKU]],Table2[],3,FALSE)</f>
        <v>Elektronik</v>
      </c>
      <c r="I65" s="37">
        <f>INDEX(Table2[Harga Jual],MATCH(Table1[[#This Row],[SKU]],Table2[SKU],0))</f>
        <v>3400000</v>
      </c>
      <c r="J65" s="37">
        <f>VLOOKUP(Table1[[#This Row],[SKU]],Table2[],4,FALSE)</f>
        <v>2100000</v>
      </c>
      <c r="K65" s="37">
        <f>INDEX(Table3[Biaya Kirim per Unit],MATCH(Table1[[#This Row],[Kota]],Table3[Kota],))</f>
        <v>65000</v>
      </c>
      <c r="L65" s="39">
        <f>VLOOKUP(Table1[[#This Row],[Kode_Promo]],Table4[],2,FALSE)</f>
        <v>0.2</v>
      </c>
      <c r="M65" s="37">
        <f>Table1[[#This Row],[Jumlah_Unit]]*Table1[[#This Row],[Harga_Satuan]]</f>
        <v>13600000</v>
      </c>
      <c r="N65" s="37">
        <f>Table1[[#This Row],[Total_Pendapatan_Kotor]]*Table1[[#This Row],[Persentase_Diskon]]</f>
        <v>2720000</v>
      </c>
      <c r="O65" s="37">
        <f>Table1[[#This Row],[Total_Pendapatan_Kotor]]-Table1[[#This Row],[Potongan_Diskon]]</f>
        <v>10880000</v>
      </c>
      <c r="P65" s="37">
        <f>(Table1[[#This Row],[Jumlah_Unit]]*Table1[[#This Row],[HPP_Satuan]])+(Table1[[#This Row],[Jumlah_Unit]]*Table1[[#This Row],[Biaya_Kirim_Satuan]])</f>
        <v>8660000</v>
      </c>
      <c r="Q65" s="37">
        <f>Table1[[#This Row],[Total_Pendapatan_Bersih]]-Table1[[#This Row],[Total_Biaya]]</f>
        <v>2220000</v>
      </c>
      <c r="R65" s="5">
        <f>Table1[[#This Row],[Laba_Kotor]]/Table1[[#This Row],[Total_Pendapatan_Bersih]]</f>
        <v>0.20404411764705882</v>
      </c>
    </row>
    <row r="66" spans="1:18" ht="20.25" thickBot="1" x14ac:dyDescent="0.6">
      <c r="A66" s="3" t="s">
        <v>95</v>
      </c>
      <c r="B66" s="21">
        <v>45722</v>
      </c>
      <c r="C66" s="1" t="s">
        <v>19</v>
      </c>
      <c r="D66" s="1" t="s">
        <v>35</v>
      </c>
      <c r="E66" s="2">
        <v>1</v>
      </c>
      <c r="F66" s="1" t="s">
        <v>21</v>
      </c>
      <c r="G66" s="1" t="str">
        <f>INDEX(Table2[Nama Produk],MATCH(Table1[[#This Row],[SKU]],Table2[SKU],0))</f>
        <v>Meja Adjustable</v>
      </c>
      <c r="H66" s="1" t="str">
        <f>VLOOKUP(Table1[[#This Row],[SKU]],Table2[],3,FALSE)</f>
        <v>Furnitur</v>
      </c>
      <c r="I66" s="37">
        <f>INDEX(Table2[Harga Jual],MATCH(Table1[[#This Row],[SKU]],Table2[SKU],0))</f>
        <v>4200000</v>
      </c>
      <c r="J66" s="37">
        <f>VLOOKUP(Table1[[#This Row],[SKU]],Table2[],4,FALSE)</f>
        <v>2400000</v>
      </c>
      <c r="K66" s="37">
        <f>INDEX(Table3[Biaya Kirim per Unit],MATCH(Table1[[#This Row],[Kota]],Table3[Kota],))</f>
        <v>25000</v>
      </c>
      <c r="L66" s="39">
        <f>VLOOKUP(Table1[[#This Row],[Kode_Promo]],Table4[],2,FALSE)</f>
        <v>0.1</v>
      </c>
      <c r="M66" s="37">
        <f>Table1[[#This Row],[Jumlah_Unit]]*Table1[[#This Row],[Harga_Satuan]]</f>
        <v>4200000</v>
      </c>
      <c r="N66" s="37">
        <f>Table1[[#This Row],[Total_Pendapatan_Kotor]]*Table1[[#This Row],[Persentase_Diskon]]</f>
        <v>420000</v>
      </c>
      <c r="O66" s="37">
        <f>Table1[[#This Row],[Total_Pendapatan_Kotor]]-Table1[[#This Row],[Potongan_Diskon]]</f>
        <v>3780000</v>
      </c>
      <c r="P66" s="37">
        <f>(Table1[[#This Row],[Jumlah_Unit]]*Table1[[#This Row],[HPP_Satuan]])+(Table1[[#This Row],[Jumlah_Unit]]*Table1[[#This Row],[Biaya_Kirim_Satuan]])</f>
        <v>2425000</v>
      </c>
      <c r="Q66" s="37">
        <f>Table1[[#This Row],[Total_Pendapatan_Bersih]]-Table1[[#This Row],[Total_Biaya]]</f>
        <v>1355000</v>
      </c>
      <c r="R66" s="5">
        <f>Table1[[#This Row],[Laba_Kotor]]/Table1[[#This Row],[Total_Pendapatan_Bersih]]</f>
        <v>0.35846560846560849</v>
      </c>
    </row>
    <row r="67" spans="1:18" ht="20.25" thickBot="1" x14ac:dyDescent="0.6">
      <c r="A67" s="3" t="s">
        <v>96</v>
      </c>
      <c r="B67" s="21">
        <v>45723</v>
      </c>
      <c r="C67" s="1" t="s">
        <v>23</v>
      </c>
      <c r="D67" s="1" t="s">
        <v>20</v>
      </c>
      <c r="E67" s="2">
        <v>3</v>
      </c>
      <c r="F67" s="1" t="s">
        <v>29</v>
      </c>
      <c r="G67" s="1" t="str">
        <f>INDEX(Table2[Nama Produk],MATCH(Table1[[#This Row],[SKU]],Table2[SKU],0))</f>
        <v>Laptop Pro 14</v>
      </c>
      <c r="H67" s="1" t="str">
        <f>VLOOKUP(Table1[[#This Row],[SKU]],Table2[],3,FALSE)</f>
        <v>Elektronik</v>
      </c>
      <c r="I67" s="37">
        <f>INDEX(Table2[Harga Jual],MATCH(Table1[[#This Row],[SKU]],Table2[SKU],0))</f>
        <v>12000000</v>
      </c>
      <c r="J67" s="37">
        <f>VLOOKUP(Table1[[#This Row],[SKU]],Table2[],4,FALSE)</f>
        <v>8500000</v>
      </c>
      <c r="K67" s="37">
        <f>INDEX(Table3[Biaya Kirim per Unit],MATCH(Table1[[#This Row],[Kota]],Table3[Kota],))</f>
        <v>35000</v>
      </c>
      <c r="L67" s="39">
        <f>VLOOKUP(Table1[[#This Row],[Kode_Promo]],Table4[],2,FALSE)</f>
        <v>0</v>
      </c>
      <c r="M67" s="37">
        <f>Table1[[#This Row],[Jumlah_Unit]]*Table1[[#This Row],[Harga_Satuan]]</f>
        <v>36000000</v>
      </c>
      <c r="N67" s="37">
        <f>Table1[[#This Row],[Total_Pendapatan_Kotor]]*Table1[[#This Row],[Persentase_Diskon]]</f>
        <v>0</v>
      </c>
      <c r="O67" s="37">
        <f>Table1[[#This Row],[Total_Pendapatan_Kotor]]-Table1[[#This Row],[Potongan_Diskon]]</f>
        <v>36000000</v>
      </c>
      <c r="P67" s="37">
        <f>(Table1[[#This Row],[Jumlah_Unit]]*Table1[[#This Row],[HPP_Satuan]])+(Table1[[#This Row],[Jumlah_Unit]]*Table1[[#This Row],[Biaya_Kirim_Satuan]])</f>
        <v>25605000</v>
      </c>
      <c r="Q67" s="37">
        <f>Table1[[#This Row],[Total_Pendapatan_Bersih]]-Table1[[#This Row],[Total_Biaya]]</f>
        <v>10395000</v>
      </c>
      <c r="R67" s="5">
        <f>Table1[[#This Row],[Laba_Kotor]]/Table1[[#This Row],[Total_Pendapatan_Bersih]]</f>
        <v>0.28875000000000001</v>
      </c>
    </row>
    <row r="68" spans="1:18" ht="20.25" thickBot="1" x14ac:dyDescent="0.6">
      <c r="A68" s="3" t="s">
        <v>97</v>
      </c>
      <c r="B68" s="21">
        <v>45724</v>
      </c>
      <c r="C68" s="1" t="s">
        <v>27</v>
      </c>
      <c r="D68" s="1" t="s">
        <v>24</v>
      </c>
      <c r="E68" s="2">
        <v>5</v>
      </c>
      <c r="F68" s="1" t="s">
        <v>25</v>
      </c>
      <c r="G68" s="1" t="str">
        <f>INDEX(Table2[Nama Produk],MATCH(Table1[[#This Row],[SKU]],Table2[SKU],0))</f>
        <v>Mechanical Keyboard</v>
      </c>
      <c r="H68" s="1" t="str">
        <f>VLOOKUP(Table1[[#This Row],[SKU]],Table2[],3,FALSE)</f>
        <v>Aksesori</v>
      </c>
      <c r="I68" s="37">
        <f>INDEX(Table2[Harga Jual],MATCH(Table1[[#This Row],[SKU]],Table2[SKU],0))</f>
        <v>850000</v>
      </c>
      <c r="J68" s="37">
        <f>VLOOKUP(Table1[[#This Row],[SKU]],Table2[],4,FALSE)</f>
        <v>450000</v>
      </c>
      <c r="K68" s="37">
        <f>INDEX(Table3[Biaya Kirim per Unit],MATCH(Table1[[#This Row],[Kota]],Table3[Kota],))</f>
        <v>50000</v>
      </c>
      <c r="L68" s="39">
        <f>VLOOKUP(Table1[[#This Row],[Kode_Promo]],Table4[],2,FALSE)</f>
        <v>0.3</v>
      </c>
      <c r="M68" s="37">
        <f>Table1[[#This Row],[Jumlah_Unit]]*Table1[[#This Row],[Harga_Satuan]]</f>
        <v>4250000</v>
      </c>
      <c r="N68" s="37">
        <f>Table1[[#This Row],[Total_Pendapatan_Kotor]]*Table1[[#This Row],[Persentase_Diskon]]</f>
        <v>1275000</v>
      </c>
      <c r="O68" s="37">
        <f>Table1[[#This Row],[Total_Pendapatan_Kotor]]-Table1[[#This Row],[Potongan_Diskon]]</f>
        <v>2975000</v>
      </c>
      <c r="P68" s="37">
        <f>(Table1[[#This Row],[Jumlah_Unit]]*Table1[[#This Row],[HPP_Satuan]])+(Table1[[#This Row],[Jumlah_Unit]]*Table1[[#This Row],[Biaya_Kirim_Satuan]])</f>
        <v>2500000</v>
      </c>
      <c r="Q68" s="37">
        <f>Table1[[#This Row],[Total_Pendapatan_Bersih]]-Table1[[#This Row],[Total_Biaya]]</f>
        <v>475000</v>
      </c>
      <c r="R68" s="5">
        <f>Table1[[#This Row],[Laba_Kotor]]/Table1[[#This Row],[Total_Pendapatan_Bersih]]</f>
        <v>0.15966386554621848</v>
      </c>
    </row>
    <row r="69" spans="1:18" ht="20.25" thickBot="1" x14ac:dyDescent="0.6">
      <c r="A69" s="3" t="s">
        <v>98</v>
      </c>
      <c r="B69" s="21">
        <v>45725</v>
      </c>
      <c r="C69" s="1" t="s">
        <v>31</v>
      </c>
      <c r="D69" s="1" t="s">
        <v>35</v>
      </c>
      <c r="E69" s="2">
        <v>2</v>
      </c>
      <c r="F69" s="1" t="s">
        <v>33</v>
      </c>
      <c r="G69" s="1" t="str">
        <f>INDEX(Table2[Nama Produk],MATCH(Table1[[#This Row],[SKU]],Table2[SKU],0))</f>
        <v>Meja Adjustable</v>
      </c>
      <c r="H69" s="1" t="str">
        <f>VLOOKUP(Table1[[#This Row],[SKU]],Table2[],3,FALSE)</f>
        <v>Furnitur</v>
      </c>
      <c r="I69" s="37">
        <f>INDEX(Table2[Harga Jual],MATCH(Table1[[#This Row],[SKU]],Table2[SKU],0))</f>
        <v>4200000</v>
      </c>
      <c r="J69" s="37">
        <f>VLOOKUP(Table1[[#This Row],[SKU]],Table2[],4,FALSE)</f>
        <v>2400000</v>
      </c>
      <c r="K69" s="37">
        <f>INDEX(Table3[Biaya Kirim per Unit],MATCH(Table1[[#This Row],[Kota]],Table3[Kota],))</f>
        <v>65000</v>
      </c>
      <c r="L69" s="39">
        <f>VLOOKUP(Table1[[#This Row],[Kode_Promo]],Table4[],2,FALSE)</f>
        <v>0.2</v>
      </c>
      <c r="M69" s="37">
        <f>Table1[[#This Row],[Jumlah_Unit]]*Table1[[#This Row],[Harga_Satuan]]</f>
        <v>8400000</v>
      </c>
      <c r="N69" s="37">
        <f>Table1[[#This Row],[Total_Pendapatan_Kotor]]*Table1[[#This Row],[Persentase_Diskon]]</f>
        <v>1680000</v>
      </c>
      <c r="O69" s="37">
        <f>Table1[[#This Row],[Total_Pendapatan_Kotor]]-Table1[[#This Row],[Potongan_Diskon]]</f>
        <v>6720000</v>
      </c>
      <c r="P69" s="37">
        <f>(Table1[[#This Row],[Jumlah_Unit]]*Table1[[#This Row],[HPP_Satuan]])+(Table1[[#This Row],[Jumlah_Unit]]*Table1[[#This Row],[Biaya_Kirim_Satuan]])</f>
        <v>4930000</v>
      </c>
      <c r="Q69" s="37">
        <f>Table1[[#This Row],[Total_Pendapatan_Bersih]]-Table1[[#This Row],[Total_Biaya]]</f>
        <v>1790000</v>
      </c>
      <c r="R69" s="5">
        <f>Table1[[#This Row],[Laba_Kotor]]/Table1[[#This Row],[Total_Pendapatan_Bersih]]</f>
        <v>0.26636904761904762</v>
      </c>
    </row>
    <row r="70" spans="1:18" ht="20.25" thickBot="1" x14ac:dyDescent="0.6">
      <c r="A70" s="3" t="s">
        <v>99</v>
      </c>
      <c r="B70" s="21">
        <v>45726</v>
      </c>
      <c r="C70" s="1" t="s">
        <v>19</v>
      </c>
      <c r="D70" s="1" t="s">
        <v>32</v>
      </c>
      <c r="E70" s="2">
        <v>3</v>
      </c>
      <c r="F70" s="1" t="s">
        <v>21</v>
      </c>
      <c r="G70" s="1" t="str">
        <f>INDEX(Table2[Nama Produk],MATCH(Table1[[#This Row],[SKU]],Table2[SKU],0))</f>
        <v>Monitor Ergonomis 27</v>
      </c>
      <c r="H70" s="1" t="str">
        <f>VLOOKUP(Table1[[#This Row],[SKU]],Table2[],3,FALSE)</f>
        <v>Elektronik</v>
      </c>
      <c r="I70" s="37">
        <f>INDEX(Table2[Harga Jual],MATCH(Table1[[#This Row],[SKU]],Table2[SKU],0))</f>
        <v>3400000</v>
      </c>
      <c r="J70" s="37">
        <f>VLOOKUP(Table1[[#This Row],[SKU]],Table2[],4,FALSE)</f>
        <v>2100000</v>
      </c>
      <c r="K70" s="37">
        <f>INDEX(Table3[Biaya Kirim per Unit],MATCH(Table1[[#This Row],[Kota]],Table3[Kota],))</f>
        <v>25000</v>
      </c>
      <c r="L70" s="39">
        <f>VLOOKUP(Table1[[#This Row],[Kode_Promo]],Table4[],2,FALSE)</f>
        <v>0.1</v>
      </c>
      <c r="M70" s="37">
        <f>Table1[[#This Row],[Jumlah_Unit]]*Table1[[#This Row],[Harga_Satuan]]</f>
        <v>10200000</v>
      </c>
      <c r="N70" s="37">
        <f>Table1[[#This Row],[Total_Pendapatan_Kotor]]*Table1[[#This Row],[Persentase_Diskon]]</f>
        <v>1020000</v>
      </c>
      <c r="O70" s="37">
        <f>Table1[[#This Row],[Total_Pendapatan_Kotor]]-Table1[[#This Row],[Potongan_Diskon]]</f>
        <v>9180000</v>
      </c>
      <c r="P70" s="37">
        <f>(Table1[[#This Row],[Jumlah_Unit]]*Table1[[#This Row],[HPP_Satuan]])+(Table1[[#This Row],[Jumlah_Unit]]*Table1[[#This Row],[Biaya_Kirim_Satuan]])</f>
        <v>6375000</v>
      </c>
      <c r="Q70" s="37">
        <f>Table1[[#This Row],[Total_Pendapatan_Bersih]]-Table1[[#This Row],[Total_Biaya]]</f>
        <v>2805000</v>
      </c>
      <c r="R70" s="5">
        <f>Table1[[#This Row],[Laba_Kotor]]/Table1[[#This Row],[Total_Pendapatan_Bersih]]</f>
        <v>0.30555555555555558</v>
      </c>
    </row>
    <row r="71" spans="1:18" ht="20.25" thickBot="1" x14ac:dyDescent="0.6">
      <c r="A71" s="3" t="s">
        <v>100</v>
      </c>
      <c r="B71" s="21">
        <v>45727</v>
      </c>
      <c r="C71" s="1" t="s">
        <v>23</v>
      </c>
      <c r="D71" s="1" t="s">
        <v>28</v>
      </c>
      <c r="E71" s="2">
        <v>1</v>
      </c>
      <c r="F71" s="1" t="s">
        <v>25</v>
      </c>
      <c r="G71" s="1" t="str">
        <f>INDEX(Table2[Nama Produk],MATCH(Table1[[#This Row],[SKU]],Table2[SKU],0))</f>
        <v>Kursi Kerja Ergonomis</v>
      </c>
      <c r="H71" s="1" t="str">
        <f>VLOOKUP(Table1[[#This Row],[SKU]],Table2[],3,FALSE)</f>
        <v>Furnitur</v>
      </c>
      <c r="I71" s="37">
        <f>INDEX(Table2[Harga Jual],MATCH(Table1[[#This Row],[SKU]],Table2[SKU],0))</f>
        <v>2100000</v>
      </c>
      <c r="J71" s="37">
        <f>VLOOKUP(Table1[[#This Row],[SKU]],Table2[],4,FALSE)</f>
        <v>1200000</v>
      </c>
      <c r="K71" s="37">
        <f>INDEX(Table3[Biaya Kirim per Unit],MATCH(Table1[[#This Row],[Kota]],Table3[Kota],))</f>
        <v>35000</v>
      </c>
      <c r="L71" s="39">
        <f>VLOOKUP(Table1[[#This Row],[Kode_Promo]],Table4[],2,FALSE)</f>
        <v>0.3</v>
      </c>
      <c r="M71" s="37">
        <f>Table1[[#This Row],[Jumlah_Unit]]*Table1[[#This Row],[Harga_Satuan]]</f>
        <v>2100000</v>
      </c>
      <c r="N71" s="37">
        <f>Table1[[#This Row],[Total_Pendapatan_Kotor]]*Table1[[#This Row],[Persentase_Diskon]]</f>
        <v>630000</v>
      </c>
      <c r="O71" s="37">
        <f>Table1[[#This Row],[Total_Pendapatan_Kotor]]-Table1[[#This Row],[Potongan_Diskon]]</f>
        <v>1470000</v>
      </c>
      <c r="P71" s="37">
        <f>(Table1[[#This Row],[Jumlah_Unit]]*Table1[[#This Row],[HPP_Satuan]])+(Table1[[#This Row],[Jumlah_Unit]]*Table1[[#This Row],[Biaya_Kirim_Satuan]])</f>
        <v>1235000</v>
      </c>
      <c r="Q71" s="37">
        <f>Table1[[#This Row],[Total_Pendapatan_Bersih]]-Table1[[#This Row],[Total_Biaya]]</f>
        <v>235000</v>
      </c>
      <c r="R71" s="5">
        <f>Table1[[#This Row],[Laba_Kotor]]/Table1[[#This Row],[Total_Pendapatan_Bersih]]</f>
        <v>0.1598639455782313</v>
      </c>
    </row>
    <row r="72" spans="1:18" ht="20.25" thickBot="1" x14ac:dyDescent="0.6">
      <c r="A72" s="3" t="s">
        <v>101</v>
      </c>
      <c r="B72" s="21">
        <v>45728</v>
      </c>
      <c r="C72" s="1" t="s">
        <v>27</v>
      </c>
      <c r="D72" s="1" t="s">
        <v>20</v>
      </c>
      <c r="E72" s="2">
        <v>2</v>
      </c>
      <c r="F72" s="1" t="s">
        <v>29</v>
      </c>
      <c r="G72" s="1" t="str">
        <f>INDEX(Table2[Nama Produk],MATCH(Table1[[#This Row],[SKU]],Table2[SKU],0))</f>
        <v>Laptop Pro 14</v>
      </c>
      <c r="H72" s="1" t="str">
        <f>VLOOKUP(Table1[[#This Row],[SKU]],Table2[],3,FALSE)</f>
        <v>Elektronik</v>
      </c>
      <c r="I72" s="37">
        <f>INDEX(Table2[Harga Jual],MATCH(Table1[[#This Row],[SKU]],Table2[SKU],0))</f>
        <v>12000000</v>
      </c>
      <c r="J72" s="37">
        <f>VLOOKUP(Table1[[#This Row],[SKU]],Table2[],4,FALSE)</f>
        <v>8500000</v>
      </c>
      <c r="K72" s="37">
        <f>INDEX(Table3[Biaya Kirim per Unit],MATCH(Table1[[#This Row],[Kota]],Table3[Kota],))</f>
        <v>50000</v>
      </c>
      <c r="L72" s="39">
        <f>VLOOKUP(Table1[[#This Row],[Kode_Promo]],Table4[],2,FALSE)</f>
        <v>0</v>
      </c>
      <c r="M72" s="37">
        <f>Table1[[#This Row],[Jumlah_Unit]]*Table1[[#This Row],[Harga_Satuan]]</f>
        <v>24000000</v>
      </c>
      <c r="N72" s="37">
        <f>Table1[[#This Row],[Total_Pendapatan_Kotor]]*Table1[[#This Row],[Persentase_Diskon]]</f>
        <v>0</v>
      </c>
      <c r="O72" s="37">
        <f>Table1[[#This Row],[Total_Pendapatan_Kotor]]-Table1[[#This Row],[Potongan_Diskon]]</f>
        <v>24000000</v>
      </c>
      <c r="P72" s="37">
        <f>(Table1[[#This Row],[Jumlah_Unit]]*Table1[[#This Row],[HPP_Satuan]])+(Table1[[#This Row],[Jumlah_Unit]]*Table1[[#This Row],[Biaya_Kirim_Satuan]])</f>
        <v>17100000</v>
      </c>
      <c r="Q72" s="37">
        <f>Table1[[#This Row],[Total_Pendapatan_Bersih]]-Table1[[#This Row],[Total_Biaya]]</f>
        <v>6900000</v>
      </c>
      <c r="R72" s="5">
        <f>Table1[[#This Row],[Laba_Kotor]]/Table1[[#This Row],[Total_Pendapatan_Bersih]]</f>
        <v>0.28749999999999998</v>
      </c>
    </row>
    <row r="73" spans="1:18" ht="20.25" thickBot="1" x14ac:dyDescent="0.6">
      <c r="A73" s="3" t="s">
        <v>102</v>
      </c>
      <c r="B73" s="21">
        <v>45729</v>
      </c>
      <c r="C73" s="1" t="s">
        <v>31</v>
      </c>
      <c r="D73" s="1" t="s">
        <v>24</v>
      </c>
      <c r="E73" s="2">
        <v>7</v>
      </c>
      <c r="F73" s="1" t="s">
        <v>33</v>
      </c>
      <c r="G73" s="1" t="str">
        <f>INDEX(Table2[Nama Produk],MATCH(Table1[[#This Row],[SKU]],Table2[SKU],0))</f>
        <v>Mechanical Keyboard</v>
      </c>
      <c r="H73" s="1" t="str">
        <f>VLOOKUP(Table1[[#This Row],[SKU]],Table2[],3,FALSE)</f>
        <v>Aksesori</v>
      </c>
      <c r="I73" s="37">
        <f>INDEX(Table2[Harga Jual],MATCH(Table1[[#This Row],[SKU]],Table2[SKU],0))</f>
        <v>850000</v>
      </c>
      <c r="J73" s="37">
        <f>VLOOKUP(Table1[[#This Row],[SKU]],Table2[],4,FALSE)</f>
        <v>450000</v>
      </c>
      <c r="K73" s="37">
        <f>INDEX(Table3[Biaya Kirim per Unit],MATCH(Table1[[#This Row],[Kota]],Table3[Kota],))</f>
        <v>65000</v>
      </c>
      <c r="L73" s="39">
        <f>VLOOKUP(Table1[[#This Row],[Kode_Promo]],Table4[],2,FALSE)</f>
        <v>0.2</v>
      </c>
      <c r="M73" s="37">
        <f>Table1[[#This Row],[Jumlah_Unit]]*Table1[[#This Row],[Harga_Satuan]]</f>
        <v>5950000</v>
      </c>
      <c r="N73" s="37">
        <f>Table1[[#This Row],[Total_Pendapatan_Kotor]]*Table1[[#This Row],[Persentase_Diskon]]</f>
        <v>1190000</v>
      </c>
      <c r="O73" s="37">
        <f>Table1[[#This Row],[Total_Pendapatan_Kotor]]-Table1[[#This Row],[Potongan_Diskon]]</f>
        <v>4760000</v>
      </c>
      <c r="P73" s="37">
        <f>(Table1[[#This Row],[Jumlah_Unit]]*Table1[[#This Row],[HPP_Satuan]])+(Table1[[#This Row],[Jumlah_Unit]]*Table1[[#This Row],[Biaya_Kirim_Satuan]])</f>
        <v>3605000</v>
      </c>
      <c r="Q73" s="37">
        <f>Table1[[#This Row],[Total_Pendapatan_Bersih]]-Table1[[#This Row],[Total_Biaya]]</f>
        <v>1155000</v>
      </c>
      <c r="R73" s="5">
        <f>Table1[[#This Row],[Laba_Kotor]]/Table1[[#This Row],[Total_Pendapatan_Bersih]]</f>
        <v>0.24264705882352941</v>
      </c>
    </row>
    <row r="74" spans="1:18" ht="20.25" thickBot="1" x14ac:dyDescent="0.6">
      <c r="A74" s="3" t="s">
        <v>103</v>
      </c>
      <c r="B74" s="21">
        <v>45730</v>
      </c>
      <c r="C74" s="1" t="s">
        <v>19</v>
      </c>
      <c r="D74" s="1" t="s">
        <v>28</v>
      </c>
      <c r="E74" s="2">
        <v>4</v>
      </c>
      <c r="F74" s="1" t="s">
        <v>21</v>
      </c>
      <c r="G74" s="1" t="str">
        <f>INDEX(Table2[Nama Produk],MATCH(Table1[[#This Row],[SKU]],Table2[SKU],0))</f>
        <v>Kursi Kerja Ergonomis</v>
      </c>
      <c r="H74" s="1" t="str">
        <f>VLOOKUP(Table1[[#This Row],[SKU]],Table2[],3,FALSE)</f>
        <v>Furnitur</v>
      </c>
      <c r="I74" s="37">
        <f>INDEX(Table2[Harga Jual],MATCH(Table1[[#This Row],[SKU]],Table2[SKU],0))</f>
        <v>2100000</v>
      </c>
      <c r="J74" s="37">
        <f>VLOOKUP(Table1[[#This Row],[SKU]],Table2[],4,FALSE)</f>
        <v>1200000</v>
      </c>
      <c r="K74" s="37">
        <f>INDEX(Table3[Biaya Kirim per Unit],MATCH(Table1[[#This Row],[Kota]],Table3[Kota],))</f>
        <v>25000</v>
      </c>
      <c r="L74" s="39">
        <f>VLOOKUP(Table1[[#This Row],[Kode_Promo]],Table4[],2,FALSE)</f>
        <v>0.1</v>
      </c>
      <c r="M74" s="37">
        <f>Table1[[#This Row],[Jumlah_Unit]]*Table1[[#This Row],[Harga_Satuan]]</f>
        <v>8400000</v>
      </c>
      <c r="N74" s="37">
        <f>Table1[[#This Row],[Total_Pendapatan_Kotor]]*Table1[[#This Row],[Persentase_Diskon]]</f>
        <v>840000</v>
      </c>
      <c r="O74" s="37">
        <f>Table1[[#This Row],[Total_Pendapatan_Kotor]]-Table1[[#This Row],[Potongan_Diskon]]</f>
        <v>7560000</v>
      </c>
      <c r="P74" s="37">
        <f>(Table1[[#This Row],[Jumlah_Unit]]*Table1[[#This Row],[HPP_Satuan]])+(Table1[[#This Row],[Jumlah_Unit]]*Table1[[#This Row],[Biaya_Kirim_Satuan]])</f>
        <v>4900000</v>
      </c>
      <c r="Q74" s="37">
        <f>Table1[[#This Row],[Total_Pendapatan_Bersih]]-Table1[[#This Row],[Total_Biaya]]</f>
        <v>2660000</v>
      </c>
      <c r="R74" s="5">
        <f>Table1[[#This Row],[Laba_Kotor]]/Table1[[#This Row],[Total_Pendapatan_Bersih]]</f>
        <v>0.35185185185185186</v>
      </c>
    </row>
    <row r="75" spans="1:18" ht="20.25" thickBot="1" x14ac:dyDescent="0.6">
      <c r="A75" s="3" t="s">
        <v>104</v>
      </c>
      <c r="B75" s="21">
        <v>45731</v>
      </c>
      <c r="C75" s="1" t="s">
        <v>23</v>
      </c>
      <c r="D75" s="1" t="s">
        <v>32</v>
      </c>
      <c r="E75" s="2">
        <v>2</v>
      </c>
      <c r="F75" s="1" t="s">
        <v>25</v>
      </c>
      <c r="G75" s="1" t="str">
        <f>INDEX(Table2[Nama Produk],MATCH(Table1[[#This Row],[SKU]],Table2[SKU],0))</f>
        <v>Monitor Ergonomis 27</v>
      </c>
      <c r="H75" s="1" t="str">
        <f>VLOOKUP(Table1[[#This Row],[SKU]],Table2[],3,FALSE)</f>
        <v>Elektronik</v>
      </c>
      <c r="I75" s="37">
        <f>INDEX(Table2[Harga Jual],MATCH(Table1[[#This Row],[SKU]],Table2[SKU],0))</f>
        <v>3400000</v>
      </c>
      <c r="J75" s="37">
        <f>VLOOKUP(Table1[[#This Row],[SKU]],Table2[],4,FALSE)</f>
        <v>2100000</v>
      </c>
      <c r="K75" s="37">
        <f>INDEX(Table3[Biaya Kirim per Unit],MATCH(Table1[[#This Row],[Kota]],Table3[Kota],))</f>
        <v>35000</v>
      </c>
      <c r="L75" s="39">
        <f>VLOOKUP(Table1[[#This Row],[Kode_Promo]],Table4[],2,FALSE)</f>
        <v>0.3</v>
      </c>
      <c r="M75" s="37">
        <f>Table1[[#This Row],[Jumlah_Unit]]*Table1[[#This Row],[Harga_Satuan]]</f>
        <v>6800000</v>
      </c>
      <c r="N75" s="37">
        <f>Table1[[#This Row],[Total_Pendapatan_Kotor]]*Table1[[#This Row],[Persentase_Diskon]]</f>
        <v>2040000</v>
      </c>
      <c r="O75" s="37">
        <f>Table1[[#This Row],[Total_Pendapatan_Kotor]]-Table1[[#This Row],[Potongan_Diskon]]</f>
        <v>4760000</v>
      </c>
      <c r="P75" s="37">
        <f>(Table1[[#This Row],[Jumlah_Unit]]*Table1[[#This Row],[HPP_Satuan]])+(Table1[[#This Row],[Jumlah_Unit]]*Table1[[#This Row],[Biaya_Kirim_Satuan]])</f>
        <v>4270000</v>
      </c>
      <c r="Q75" s="37">
        <f>Table1[[#This Row],[Total_Pendapatan_Bersih]]-Table1[[#This Row],[Total_Biaya]]</f>
        <v>490000</v>
      </c>
      <c r="R75" s="5">
        <f>Table1[[#This Row],[Laba_Kotor]]/Table1[[#This Row],[Total_Pendapatan_Bersih]]</f>
        <v>0.10294117647058823</v>
      </c>
    </row>
    <row r="76" spans="1:18" ht="20.25" thickBot="1" x14ac:dyDescent="0.6">
      <c r="A76" s="3" t="s">
        <v>105</v>
      </c>
      <c r="B76" s="21">
        <v>45732</v>
      </c>
      <c r="C76" s="1" t="s">
        <v>27</v>
      </c>
      <c r="D76" s="1" t="s">
        <v>35</v>
      </c>
      <c r="E76" s="2">
        <v>3</v>
      </c>
      <c r="F76" s="1" t="s">
        <v>29</v>
      </c>
      <c r="G76" s="1" t="str">
        <f>INDEX(Table2[Nama Produk],MATCH(Table1[[#This Row],[SKU]],Table2[SKU],0))</f>
        <v>Meja Adjustable</v>
      </c>
      <c r="H76" s="1" t="str">
        <f>VLOOKUP(Table1[[#This Row],[SKU]],Table2[],3,FALSE)</f>
        <v>Furnitur</v>
      </c>
      <c r="I76" s="37">
        <f>INDEX(Table2[Harga Jual],MATCH(Table1[[#This Row],[SKU]],Table2[SKU],0))</f>
        <v>4200000</v>
      </c>
      <c r="J76" s="37">
        <f>VLOOKUP(Table1[[#This Row],[SKU]],Table2[],4,FALSE)</f>
        <v>2400000</v>
      </c>
      <c r="K76" s="37">
        <f>INDEX(Table3[Biaya Kirim per Unit],MATCH(Table1[[#This Row],[Kota]],Table3[Kota],))</f>
        <v>50000</v>
      </c>
      <c r="L76" s="39">
        <f>VLOOKUP(Table1[[#This Row],[Kode_Promo]],Table4[],2,FALSE)</f>
        <v>0</v>
      </c>
      <c r="M76" s="37">
        <f>Table1[[#This Row],[Jumlah_Unit]]*Table1[[#This Row],[Harga_Satuan]]</f>
        <v>12600000</v>
      </c>
      <c r="N76" s="37">
        <f>Table1[[#This Row],[Total_Pendapatan_Kotor]]*Table1[[#This Row],[Persentase_Diskon]]</f>
        <v>0</v>
      </c>
      <c r="O76" s="37">
        <f>Table1[[#This Row],[Total_Pendapatan_Kotor]]-Table1[[#This Row],[Potongan_Diskon]]</f>
        <v>12600000</v>
      </c>
      <c r="P76" s="37">
        <f>(Table1[[#This Row],[Jumlah_Unit]]*Table1[[#This Row],[HPP_Satuan]])+(Table1[[#This Row],[Jumlah_Unit]]*Table1[[#This Row],[Biaya_Kirim_Satuan]])</f>
        <v>7350000</v>
      </c>
      <c r="Q76" s="37">
        <f>Table1[[#This Row],[Total_Pendapatan_Bersih]]-Table1[[#This Row],[Total_Biaya]]</f>
        <v>5250000</v>
      </c>
      <c r="R76" s="5">
        <f>Table1[[#This Row],[Laba_Kotor]]/Table1[[#This Row],[Total_Pendapatan_Bersih]]</f>
        <v>0.41666666666666669</v>
      </c>
    </row>
    <row r="77" spans="1:18" ht="20.25" thickBot="1" x14ac:dyDescent="0.6">
      <c r="A77" s="3" t="s">
        <v>106</v>
      </c>
      <c r="B77" s="21">
        <v>45733</v>
      </c>
      <c r="C77" s="1" t="s">
        <v>31</v>
      </c>
      <c r="D77" s="1" t="s">
        <v>20</v>
      </c>
      <c r="E77" s="2">
        <v>1</v>
      </c>
      <c r="F77" s="1" t="s">
        <v>33</v>
      </c>
      <c r="G77" s="1" t="str">
        <f>INDEX(Table2[Nama Produk],MATCH(Table1[[#This Row],[SKU]],Table2[SKU],0))</f>
        <v>Laptop Pro 14</v>
      </c>
      <c r="H77" s="1" t="str">
        <f>VLOOKUP(Table1[[#This Row],[SKU]],Table2[],3,FALSE)</f>
        <v>Elektronik</v>
      </c>
      <c r="I77" s="37">
        <f>INDEX(Table2[Harga Jual],MATCH(Table1[[#This Row],[SKU]],Table2[SKU],0))</f>
        <v>12000000</v>
      </c>
      <c r="J77" s="37">
        <f>VLOOKUP(Table1[[#This Row],[SKU]],Table2[],4,FALSE)</f>
        <v>8500000</v>
      </c>
      <c r="K77" s="37">
        <f>INDEX(Table3[Biaya Kirim per Unit],MATCH(Table1[[#This Row],[Kota]],Table3[Kota],))</f>
        <v>65000</v>
      </c>
      <c r="L77" s="39">
        <f>VLOOKUP(Table1[[#This Row],[Kode_Promo]],Table4[],2,FALSE)</f>
        <v>0.2</v>
      </c>
      <c r="M77" s="37">
        <f>Table1[[#This Row],[Jumlah_Unit]]*Table1[[#This Row],[Harga_Satuan]]</f>
        <v>12000000</v>
      </c>
      <c r="N77" s="37">
        <f>Table1[[#This Row],[Total_Pendapatan_Kotor]]*Table1[[#This Row],[Persentase_Diskon]]</f>
        <v>2400000</v>
      </c>
      <c r="O77" s="37">
        <f>Table1[[#This Row],[Total_Pendapatan_Kotor]]-Table1[[#This Row],[Potongan_Diskon]]</f>
        <v>9600000</v>
      </c>
      <c r="P77" s="37">
        <f>(Table1[[#This Row],[Jumlah_Unit]]*Table1[[#This Row],[HPP_Satuan]])+(Table1[[#This Row],[Jumlah_Unit]]*Table1[[#This Row],[Biaya_Kirim_Satuan]])</f>
        <v>8565000</v>
      </c>
      <c r="Q77" s="37">
        <f>Table1[[#This Row],[Total_Pendapatan_Bersih]]-Table1[[#This Row],[Total_Biaya]]</f>
        <v>1035000</v>
      </c>
      <c r="R77" s="5">
        <f>Table1[[#This Row],[Laba_Kotor]]/Table1[[#This Row],[Total_Pendapatan_Bersih]]</f>
        <v>0.10781250000000001</v>
      </c>
    </row>
    <row r="78" spans="1:18" ht="20.25" thickBot="1" x14ac:dyDescent="0.6">
      <c r="A78" s="3" t="s">
        <v>107</v>
      </c>
      <c r="B78" s="21">
        <v>45734</v>
      </c>
      <c r="C78" s="1" t="s">
        <v>19</v>
      </c>
      <c r="D78" s="1" t="s">
        <v>24</v>
      </c>
      <c r="E78" s="2">
        <v>5</v>
      </c>
      <c r="F78" s="1" t="s">
        <v>21</v>
      </c>
      <c r="G78" s="1" t="str">
        <f>INDEX(Table2[Nama Produk],MATCH(Table1[[#This Row],[SKU]],Table2[SKU],0))</f>
        <v>Mechanical Keyboard</v>
      </c>
      <c r="H78" s="1" t="str">
        <f>VLOOKUP(Table1[[#This Row],[SKU]],Table2[],3,FALSE)</f>
        <v>Aksesori</v>
      </c>
      <c r="I78" s="37">
        <f>INDEX(Table2[Harga Jual],MATCH(Table1[[#This Row],[SKU]],Table2[SKU],0))</f>
        <v>850000</v>
      </c>
      <c r="J78" s="37">
        <f>VLOOKUP(Table1[[#This Row],[SKU]],Table2[],4,FALSE)</f>
        <v>450000</v>
      </c>
      <c r="K78" s="37">
        <f>INDEX(Table3[Biaya Kirim per Unit],MATCH(Table1[[#This Row],[Kota]],Table3[Kota],))</f>
        <v>25000</v>
      </c>
      <c r="L78" s="39">
        <f>VLOOKUP(Table1[[#This Row],[Kode_Promo]],Table4[],2,FALSE)</f>
        <v>0.1</v>
      </c>
      <c r="M78" s="37">
        <f>Table1[[#This Row],[Jumlah_Unit]]*Table1[[#This Row],[Harga_Satuan]]</f>
        <v>4250000</v>
      </c>
      <c r="N78" s="37">
        <f>Table1[[#This Row],[Total_Pendapatan_Kotor]]*Table1[[#This Row],[Persentase_Diskon]]</f>
        <v>425000</v>
      </c>
      <c r="O78" s="37">
        <f>Table1[[#This Row],[Total_Pendapatan_Kotor]]-Table1[[#This Row],[Potongan_Diskon]]</f>
        <v>3825000</v>
      </c>
      <c r="P78" s="37">
        <f>(Table1[[#This Row],[Jumlah_Unit]]*Table1[[#This Row],[HPP_Satuan]])+(Table1[[#This Row],[Jumlah_Unit]]*Table1[[#This Row],[Biaya_Kirim_Satuan]])</f>
        <v>2375000</v>
      </c>
      <c r="Q78" s="37">
        <f>Table1[[#This Row],[Total_Pendapatan_Bersih]]-Table1[[#This Row],[Total_Biaya]]</f>
        <v>1450000</v>
      </c>
      <c r="R78" s="5">
        <f>Table1[[#This Row],[Laba_Kotor]]/Table1[[#This Row],[Total_Pendapatan_Bersih]]</f>
        <v>0.37908496732026142</v>
      </c>
    </row>
    <row r="79" spans="1:18" ht="20.25" thickBot="1" x14ac:dyDescent="0.6">
      <c r="A79" s="3" t="s">
        <v>108</v>
      </c>
      <c r="B79" s="21">
        <v>45735</v>
      </c>
      <c r="C79" s="1" t="s">
        <v>23</v>
      </c>
      <c r="D79" s="1" t="s">
        <v>35</v>
      </c>
      <c r="E79" s="2">
        <v>4</v>
      </c>
      <c r="F79" s="1" t="s">
        <v>25</v>
      </c>
      <c r="G79" s="1" t="str">
        <f>INDEX(Table2[Nama Produk],MATCH(Table1[[#This Row],[SKU]],Table2[SKU],0))</f>
        <v>Meja Adjustable</v>
      </c>
      <c r="H79" s="1" t="str">
        <f>VLOOKUP(Table1[[#This Row],[SKU]],Table2[],3,FALSE)</f>
        <v>Furnitur</v>
      </c>
      <c r="I79" s="37">
        <f>INDEX(Table2[Harga Jual],MATCH(Table1[[#This Row],[SKU]],Table2[SKU],0))</f>
        <v>4200000</v>
      </c>
      <c r="J79" s="37">
        <f>VLOOKUP(Table1[[#This Row],[SKU]],Table2[],4,FALSE)</f>
        <v>2400000</v>
      </c>
      <c r="K79" s="37">
        <f>INDEX(Table3[Biaya Kirim per Unit],MATCH(Table1[[#This Row],[Kota]],Table3[Kota],))</f>
        <v>35000</v>
      </c>
      <c r="L79" s="39">
        <f>VLOOKUP(Table1[[#This Row],[Kode_Promo]],Table4[],2,FALSE)</f>
        <v>0.3</v>
      </c>
      <c r="M79" s="37">
        <f>Table1[[#This Row],[Jumlah_Unit]]*Table1[[#This Row],[Harga_Satuan]]</f>
        <v>16800000</v>
      </c>
      <c r="N79" s="37">
        <f>Table1[[#This Row],[Total_Pendapatan_Kotor]]*Table1[[#This Row],[Persentase_Diskon]]</f>
        <v>5040000</v>
      </c>
      <c r="O79" s="37">
        <f>Table1[[#This Row],[Total_Pendapatan_Kotor]]-Table1[[#This Row],[Potongan_Diskon]]</f>
        <v>11760000</v>
      </c>
      <c r="P79" s="37">
        <f>(Table1[[#This Row],[Jumlah_Unit]]*Table1[[#This Row],[HPP_Satuan]])+(Table1[[#This Row],[Jumlah_Unit]]*Table1[[#This Row],[Biaya_Kirim_Satuan]])</f>
        <v>9740000</v>
      </c>
      <c r="Q79" s="37">
        <f>Table1[[#This Row],[Total_Pendapatan_Bersih]]-Table1[[#This Row],[Total_Biaya]]</f>
        <v>2020000</v>
      </c>
      <c r="R79" s="5">
        <f>Table1[[#This Row],[Laba_Kotor]]/Table1[[#This Row],[Total_Pendapatan_Bersih]]</f>
        <v>0.17176870748299319</v>
      </c>
    </row>
    <row r="80" spans="1:18" ht="20.25" thickBot="1" x14ac:dyDescent="0.6">
      <c r="A80" s="3" t="s">
        <v>109</v>
      </c>
      <c r="B80" s="21">
        <v>45736</v>
      </c>
      <c r="C80" s="1" t="s">
        <v>27</v>
      </c>
      <c r="D80" s="1" t="s">
        <v>32</v>
      </c>
      <c r="E80" s="2">
        <v>1</v>
      </c>
      <c r="F80" s="1" t="s">
        <v>29</v>
      </c>
      <c r="G80" s="1" t="str">
        <f>INDEX(Table2[Nama Produk],MATCH(Table1[[#This Row],[SKU]],Table2[SKU],0))</f>
        <v>Monitor Ergonomis 27</v>
      </c>
      <c r="H80" s="1" t="str">
        <f>VLOOKUP(Table1[[#This Row],[SKU]],Table2[],3,FALSE)</f>
        <v>Elektronik</v>
      </c>
      <c r="I80" s="37">
        <f>INDEX(Table2[Harga Jual],MATCH(Table1[[#This Row],[SKU]],Table2[SKU],0))</f>
        <v>3400000</v>
      </c>
      <c r="J80" s="37">
        <f>VLOOKUP(Table1[[#This Row],[SKU]],Table2[],4,FALSE)</f>
        <v>2100000</v>
      </c>
      <c r="K80" s="37">
        <f>INDEX(Table3[Biaya Kirim per Unit],MATCH(Table1[[#This Row],[Kota]],Table3[Kota],))</f>
        <v>50000</v>
      </c>
      <c r="L80" s="39">
        <f>VLOOKUP(Table1[[#This Row],[Kode_Promo]],Table4[],2,FALSE)</f>
        <v>0</v>
      </c>
      <c r="M80" s="37">
        <f>Table1[[#This Row],[Jumlah_Unit]]*Table1[[#This Row],[Harga_Satuan]]</f>
        <v>3400000</v>
      </c>
      <c r="N80" s="37">
        <f>Table1[[#This Row],[Total_Pendapatan_Kotor]]*Table1[[#This Row],[Persentase_Diskon]]</f>
        <v>0</v>
      </c>
      <c r="O80" s="37">
        <f>Table1[[#This Row],[Total_Pendapatan_Kotor]]-Table1[[#This Row],[Potongan_Diskon]]</f>
        <v>3400000</v>
      </c>
      <c r="P80" s="37">
        <f>(Table1[[#This Row],[Jumlah_Unit]]*Table1[[#This Row],[HPP_Satuan]])+(Table1[[#This Row],[Jumlah_Unit]]*Table1[[#This Row],[Biaya_Kirim_Satuan]])</f>
        <v>2150000</v>
      </c>
      <c r="Q80" s="37">
        <f>Table1[[#This Row],[Total_Pendapatan_Bersih]]-Table1[[#This Row],[Total_Biaya]]</f>
        <v>1250000</v>
      </c>
      <c r="R80" s="5">
        <f>Table1[[#This Row],[Laba_Kotor]]/Table1[[#This Row],[Total_Pendapatan_Bersih]]</f>
        <v>0.36764705882352944</v>
      </c>
    </row>
    <row r="81" spans="1:18" ht="20.25" thickBot="1" x14ac:dyDescent="0.6">
      <c r="A81" s="3" t="s">
        <v>110</v>
      </c>
      <c r="B81" s="21">
        <v>45737</v>
      </c>
      <c r="C81" s="1" t="s">
        <v>31</v>
      </c>
      <c r="D81" s="1" t="s">
        <v>28</v>
      </c>
      <c r="E81" s="2">
        <v>3</v>
      </c>
      <c r="F81" s="1" t="s">
        <v>33</v>
      </c>
      <c r="G81" s="1" t="str">
        <f>INDEX(Table2[Nama Produk],MATCH(Table1[[#This Row],[SKU]],Table2[SKU],0))</f>
        <v>Kursi Kerja Ergonomis</v>
      </c>
      <c r="H81" s="1" t="str">
        <f>VLOOKUP(Table1[[#This Row],[SKU]],Table2[],3,FALSE)</f>
        <v>Furnitur</v>
      </c>
      <c r="I81" s="37">
        <f>INDEX(Table2[Harga Jual],MATCH(Table1[[#This Row],[SKU]],Table2[SKU],0))</f>
        <v>2100000</v>
      </c>
      <c r="J81" s="37">
        <f>VLOOKUP(Table1[[#This Row],[SKU]],Table2[],4,FALSE)</f>
        <v>1200000</v>
      </c>
      <c r="K81" s="37">
        <f>INDEX(Table3[Biaya Kirim per Unit],MATCH(Table1[[#This Row],[Kota]],Table3[Kota],))</f>
        <v>65000</v>
      </c>
      <c r="L81" s="39">
        <f>VLOOKUP(Table1[[#This Row],[Kode_Promo]],Table4[],2,FALSE)</f>
        <v>0.2</v>
      </c>
      <c r="M81" s="37">
        <f>Table1[[#This Row],[Jumlah_Unit]]*Table1[[#This Row],[Harga_Satuan]]</f>
        <v>6300000</v>
      </c>
      <c r="N81" s="37">
        <f>Table1[[#This Row],[Total_Pendapatan_Kotor]]*Table1[[#This Row],[Persentase_Diskon]]</f>
        <v>1260000</v>
      </c>
      <c r="O81" s="37">
        <f>Table1[[#This Row],[Total_Pendapatan_Kotor]]-Table1[[#This Row],[Potongan_Diskon]]</f>
        <v>5040000</v>
      </c>
      <c r="P81" s="37">
        <f>(Table1[[#This Row],[Jumlah_Unit]]*Table1[[#This Row],[HPP_Satuan]])+(Table1[[#This Row],[Jumlah_Unit]]*Table1[[#This Row],[Biaya_Kirim_Satuan]])</f>
        <v>3795000</v>
      </c>
      <c r="Q81" s="37">
        <f>Table1[[#This Row],[Total_Pendapatan_Bersih]]-Table1[[#This Row],[Total_Biaya]]</f>
        <v>1245000</v>
      </c>
      <c r="R81" s="5">
        <f>Table1[[#This Row],[Laba_Kotor]]/Table1[[#This Row],[Total_Pendapatan_Bersih]]</f>
        <v>0.24702380952380953</v>
      </c>
    </row>
    <row r="82" spans="1:18" ht="20.25" thickBot="1" x14ac:dyDescent="0.6">
      <c r="A82" s="3" t="s">
        <v>111</v>
      </c>
      <c r="B82" s="21">
        <v>45738</v>
      </c>
      <c r="C82" s="1" t="s">
        <v>19</v>
      </c>
      <c r="D82" s="1" t="s">
        <v>20</v>
      </c>
      <c r="E82" s="2">
        <v>2</v>
      </c>
      <c r="F82" s="1" t="s">
        <v>21</v>
      </c>
      <c r="G82" s="1" t="str">
        <f>INDEX(Table2[Nama Produk],MATCH(Table1[[#This Row],[SKU]],Table2[SKU],0))</f>
        <v>Laptop Pro 14</v>
      </c>
      <c r="H82" s="1" t="str">
        <f>VLOOKUP(Table1[[#This Row],[SKU]],Table2[],3,FALSE)</f>
        <v>Elektronik</v>
      </c>
      <c r="I82" s="37">
        <f>INDEX(Table2[Harga Jual],MATCH(Table1[[#This Row],[SKU]],Table2[SKU],0))</f>
        <v>12000000</v>
      </c>
      <c r="J82" s="37">
        <f>VLOOKUP(Table1[[#This Row],[SKU]],Table2[],4,FALSE)</f>
        <v>8500000</v>
      </c>
      <c r="K82" s="37">
        <f>INDEX(Table3[Biaya Kirim per Unit],MATCH(Table1[[#This Row],[Kota]],Table3[Kota],))</f>
        <v>25000</v>
      </c>
      <c r="L82" s="39">
        <f>VLOOKUP(Table1[[#This Row],[Kode_Promo]],Table4[],2,FALSE)</f>
        <v>0.1</v>
      </c>
      <c r="M82" s="37">
        <f>Table1[[#This Row],[Jumlah_Unit]]*Table1[[#This Row],[Harga_Satuan]]</f>
        <v>24000000</v>
      </c>
      <c r="N82" s="37">
        <f>Table1[[#This Row],[Total_Pendapatan_Kotor]]*Table1[[#This Row],[Persentase_Diskon]]</f>
        <v>2400000</v>
      </c>
      <c r="O82" s="37">
        <f>Table1[[#This Row],[Total_Pendapatan_Kotor]]-Table1[[#This Row],[Potongan_Diskon]]</f>
        <v>21600000</v>
      </c>
      <c r="P82" s="37">
        <f>(Table1[[#This Row],[Jumlah_Unit]]*Table1[[#This Row],[HPP_Satuan]])+(Table1[[#This Row],[Jumlah_Unit]]*Table1[[#This Row],[Biaya_Kirim_Satuan]])</f>
        <v>17050000</v>
      </c>
      <c r="Q82" s="37">
        <f>Table1[[#This Row],[Total_Pendapatan_Bersih]]-Table1[[#This Row],[Total_Biaya]]</f>
        <v>4550000</v>
      </c>
      <c r="R82" s="5">
        <f>Table1[[#This Row],[Laba_Kotor]]/Table1[[#This Row],[Total_Pendapatan_Bersih]]</f>
        <v>0.21064814814814814</v>
      </c>
    </row>
    <row r="83" spans="1:18" ht="20.25" thickBot="1" x14ac:dyDescent="0.6">
      <c r="A83" s="3" t="s">
        <v>112</v>
      </c>
      <c r="B83" s="21">
        <v>45739</v>
      </c>
      <c r="C83" s="1" t="s">
        <v>23</v>
      </c>
      <c r="D83" s="1" t="s">
        <v>24</v>
      </c>
      <c r="E83" s="2">
        <v>8</v>
      </c>
      <c r="F83" s="1" t="s">
        <v>25</v>
      </c>
      <c r="G83" s="1" t="str">
        <f>INDEX(Table2[Nama Produk],MATCH(Table1[[#This Row],[SKU]],Table2[SKU],0))</f>
        <v>Mechanical Keyboard</v>
      </c>
      <c r="H83" s="1" t="str">
        <f>VLOOKUP(Table1[[#This Row],[SKU]],Table2[],3,FALSE)</f>
        <v>Aksesori</v>
      </c>
      <c r="I83" s="37">
        <f>INDEX(Table2[Harga Jual],MATCH(Table1[[#This Row],[SKU]],Table2[SKU],0))</f>
        <v>850000</v>
      </c>
      <c r="J83" s="37">
        <f>VLOOKUP(Table1[[#This Row],[SKU]],Table2[],4,FALSE)</f>
        <v>450000</v>
      </c>
      <c r="K83" s="37">
        <f>INDEX(Table3[Biaya Kirim per Unit],MATCH(Table1[[#This Row],[Kota]],Table3[Kota],))</f>
        <v>35000</v>
      </c>
      <c r="L83" s="39">
        <f>VLOOKUP(Table1[[#This Row],[Kode_Promo]],Table4[],2,FALSE)</f>
        <v>0.3</v>
      </c>
      <c r="M83" s="37">
        <f>Table1[[#This Row],[Jumlah_Unit]]*Table1[[#This Row],[Harga_Satuan]]</f>
        <v>6800000</v>
      </c>
      <c r="N83" s="37">
        <f>Table1[[#This Row],[Total_Pendapatan_Kotor]]*Table1[[#This Row],[Persentase_Diskon]]</f>
        <v>2040000</v>
      </c>
      <c r="O83" s="37">
        <f>Table1[[#This Row],[Total_Pendapatan_Kotor]]-Table1[[#This Row],[Potongan_Diskon]]</f>
        <v>4760000</v>
      </c>
      <c r="P83" s="37">
        <f>(Table1[[#This Row],[Jumlah_Unit]]*Table1[[#This Row],[HPP_Satuan]])+(Table1[[#This Row],[Jumlah_Unit]]*Table1[[#This Row],[Biaya_Kirim_Satuan]])</f>
        <v>3880000</v>
      </c>
      <c r="Q83" s="37">
        <f>Table1[[#This Row],[Total_Pendapatan_Bersih]]-Table1[[#This Row],[Total_Biaya]]</f>
        <v>880000</v>
      </c>
      <c r="R83" s="5">
        <f>Table1[[#This Row],[Laba_Kotor]]/Table1[[#This Row],[Total_Pendapatan_Bersih]]</f>
        <v>0.18487394957983194</v>
      </c>
    </row>
    <row r="84" spans="1:18" ht="20.25" thickBot="1" x14ac:dyDescent="0.6">
      <c r="A84" s="3" t="s">
        <v>113</v>
      </c>
      <c r="B84" s="21">
        <v>45740</v>
      </c>
      <c r="C84" s="1" t="s">
        <v>27</v>
      </c>
      <c r="D84" s="1" t="s">
        <v>28</v>
      </c>
      <c r="E84" s="2">
        <v>2</v>
      </c>
      <c r="F84" s="1" t="s">
        <v>29</v>
      </c>
      <c r="G84" s="1" t="str">
        <f>INDEX(Table2[Nama Produk],MATCH(Table1[[#This Row],[SKU]],Table2[SKU],0))</f>
        <v>Kursi Kerja Ergonomis</v>
      </c>
      <c r="H84" s="1" t="str">
        <f>VLOOKUP(Table1[[#This Row],[SKU]],Table2[],3,FALSE)</f>
        <v>Furnitur</v>
      </c>
      <c r="I84" s="37">
        <f>INDEX(Table2[Harga Jual],MATCH(Table1[[#This Row],[SKU]],Table2[SKU],0))</f>
        <v>2100000</v>
      </c>
      <c r="J84" s="37">
        <f>VLOOKUP(Table1[[#This Row],[SKU]],Table2[],4,FALSE)</f>
        <v>1200000</v>
      </c>
      <c r="K84" s="37">
        <f>INDEX(Table3[Biaya Kirim per Unit],MATCH(Table1[[#This Row],[Kota]],Table3[Kota],))</f>
        <v>50000</v>
      </c>
      <c r="L84" s="39">
        <f>VLOOKUP(Table1[[#This Row],[Kode_Promo]],Table4[],2,FALSE)</f>
        <v>0</v>
      </c>
      <c r="M84" s="37">
        <f>Table1[[#This Row],[Jumlah_Unit]]*Table1[[#This Row],[Harga_Satuan]]</f>
        <v>4200000</v>
      </c>
      <c r="N84" s="37">
        <f>Table1[[#This Row],[Total_Pendapatan_Kotor]]*Table1[[#This Row],[Persentase_Diskon]]</f>
        <v>0</v>
      </c>
      <c r="O84" s="37">
        <f>Table1[[#This Row],[Total_Pendapatan_Kotor]]-Table1[[#This Row],[Potongan_Diskon]]</f>
        <v>4200000</v>
      </c>
      <c r="P84" s="37">
        <f>(Table1[[#This Row],[Jumlah_Unit]]*Table1[[#This Row],[HPP_Satuan]])+(Table1[[#This Row],[Jumlah_Unit]]*Table1[[#This Row],[Biaya_Kirim_Satuan]])</f>
        <v>2500000</v>
      </c>
      <c r="Q84" s="37">
        <f>Table1[[#This Row],[Total_Pendapatan_Bersih]]-Table1[[#This Row],[Total_Biaya]]</f>
        <v>1700000</v>
      </c>
      <c r="R84" s="5">
        <f>Table1[[#This Row],[Laba_Kotor]]/Table1[[#This Row],[Total_Pendapatan_Bersih]]</f>
        <v>0.40476190476190477</v>
      </c>
    </row>
    <row r="85" spans="1:18" ht="20.25" thickBot="1" x14ac:dyDescent="0.6">
      <c r="A85" s="3" t="s">
        <v>114</v>
      </c>
      <c r="B85" s="21">
        <v>45741</v>
      </c>
      <c r="C85" s="1" t="s">
        <v>31</v>
      </c>
      <c r="D85" s="1" t="s">
        <v>32</v>
      </c>
      <c r="E85" s="2">
        <v>5</v>
      </c>
      <c r="F85" s="1" t="s">
        <v>33</v>
      </c>
      <c r="G85" s="1" t="str">
        <f>INDEX(Table2[Nama Produk],MATCH(Table1[[#This Row],[SKU]],Table2[SKU],0))</f>
        <v>Monitor Ergonomis 27</v>
      </c>
      <c r="H85" s="1" t="str">
        <f>VLOOKUP(Table1[[#This Row],[SKU]],Table2[],3,FALSE)</f>
        <v>Elektronik</v>
      </c>
      <c r="I85" s="37">
        <f>INDEX(Table2[Harga Jual],MATCH(Table1[[#This Row],[SKU]],Table2[SKU],0))</f>
        <v>3400000</v>
      </c>
      <c r="J85" s="37">
        <f>VLOOKUP(Table1[[#This Row],[SKU]],Table2[],4,FALSE)</f>
        <v>2100000</v>
      </c>
      <c r="K85" s="37">
        <f>INDEX(Table3[Biaya Kirim per Unit],MATCH(Table1[[#This Row],[Kota]],Table3[Kota],))</f>
        <v>65000</v>
      </c>
      <c r="L85" s="39">
        <f>VLOOKUP(Table1[[#This Row],[Kode_Promo]],Table4[],2,FALSE)</f>
        <v>0.2</v>
      </c>
      <c r="M85" s="37">
        <f>Table1[[#This Row],[Jumlah_Unit]]*Table1[[#This Row],[Harga_Satuan]]</f>
        <v>17000000</v>
      </c>
      <c r="N85" s="37">
        <f>Table1[[#This Row],[Total_Pendapatan_Kotor]]*Table1[[#This Row],[Persentase_Diskon]]</f>
        <v>3400000</v>
      </c>
      <c r="O85" s="37">
        <f>Table1[[#This Row],[Total_Pendapatan_Kotor]]-Table1[[#This Row],[Potongan_Diskon]]</f>
        <v>13600000</v>
      </c>
      <c r="P85" s="37">
        <f>(Table1[[#This Row],[Jumlah_Unit]]*Table1[[#This Row],[HPP_Satuan]])+(Table1[[#This Row],[Jumlah_Unit]]*Table1[[#This Row],[Biaya_Kirim_Satuan]])</f>
        <v>10825000</v>
      </c>
      <c r="Q85" s="37">
        <f>Table1[[#This Row],[Total_Pendapatan_Bersih]]-Table1[[#This Row],[Total_Biaya]]</f>
        <v>2775000</v>
      </c>
      <c r="R85" s="5">
        <f>Table1[[#This Row],[Laba_Kotor]]/Table1[[#This Row],[Total_Pendapatan_Bersih]]</f>
        <v>0.20404411764705882</v>
      </c>
    </row>
    <row r="86" spans="1:18" ht="20.25" thickBot="1" x14ac:dyDescent="0.6">
      <c r="A86" s="3" t="s">
        <v>115</v>
      </c>
      <c r="B86" s="21">
        <v>45742</v>
      </c>
      <c r="C86" s="1" t="s">
        <v>19</v>
      </c>
      <c r="D86" s="1" t="s">
        <v>35</v>
      </c>
      <c r="E86" s="2">
        <v>2</v>
      </c>
      <c r="F86" s="1" t="s">
        <v>21</v>
      </c>
      <c r="G86" s="1" t="str">
        <f>INDEX(Table2[Nama Produk],MATCH(Table1[[#This Row],[SKU]],Table2[SKU],0))</f>
        <v>Meja Adjustable</v>
      </c>
      <c r="H86" s="1" t="str">
        <f>VLOOKUP(Table1[[#This Row],[SKU]],Table2[],3,FALSE)</f>
        <v>Furnitur</v>
      </c>
      <c r="I86" s="37">
        <f>INDEX(Table2[Harga Jual],MATCH(Table1[[#This Row],[SKU]],Table2[SKU],0))</f>
        <v>4200000</v>
      </c>
      <c r="J86" s="37">
        <f>VLOOKUP(Table1[[#This Row],[SKU]],Table2[],4,FALSE)</f>
        <v>2400000</v>
      </c>
      <c r="K86" s="37">
        <f>INDEX(Table3[Biaya Kirim per Unit],MATCH(Table1[[#This Row],[Kota]],Table3[Kota],))</f>
        <v>25000</v>
      </c>
      <c r="L86" s="39">
        <f>VLOOKUP(Table1[[#This Row],[Kode_Promo]],Table4[],2,FALSE)</f>
        <v>0.1</v>
      </c>
      <c r="M86" s="37">
        <f>Table1[[#This Row],[Jumlah_Unit]]*Table1[[#This Row],[Harga_Satuan]]</f>
        <v>8400000</v>
      </c>
      <c r="N86" s="37">
        <f>Table1[[#This Row],[Total_Pendapatan_Kotor]]*Table1[[#This Row],[Persentase_Diskon]]</f>
        <v>840000</v>
      </c>
      <c r="O86" s="37">
        <f>Table1[[#This Row],[Total_Pendapatan_Kotor]]-Table1[[#This Row],[Potongan_Diskon]]</f>
        <v>7560000</v>
      </c>
      <c r="P86" s="37">
        <f>(Table1[[#This Row],[Jumlah_Unit]]*Table1[[#This Row],[HPP_Satuan]])+(Table1[[#This Row],[Jumlah_Unit]]*Table1[[#This Row],[Biaya_Kirim_Satuan]])</f>
        <v>4850000</v>
      </c>
      <c r="Q86" s="37">
        <f>Table1[[#This Row],[Total_Pendapatan_Bersih]]-Table1[[#This Row],[Total_Biaya]]</f>
        <v>2710000</v>
      </c>
      <c r="R86" s="5">
        <f>Table1[[#This Row],[Laba_Kotor]]/Table1[[#This Row],[Total_Pendapatan_Bersih]]</f>
        <v>0.35846560846560849</v>
      </c>
    </row>
    <row r="87" spans="1:18" ht="20.25" thickBot="1" x14ac:dyDescent="0.6">
      <c r="A87" s="3" t="s">
        <v>116</v>
      </c>
      <c r="B87" s="21">
        <v>45743</v>
      </c>
      <c r="C87" s="1" t="s">
        <v>23</v>
      </c>
      <c r="D87" s="1" t="s">
        <v>20</v>
      </c>
      <c r="E87" s="2">
        <v>1</v>
      </c>
      <c r="F87" s="1" t="s">
        <v>29</v>
      </c>
      <c r="G87" s="1" t="str">
        <f>INDEX(Table2[Nama Produk],MATCH(Table1[[#This Row],[SKU]],Table2[SKU],0))</f>
        <v>Laptop Pro 14</v>
      </c>
      <c r="H87" s="1" t="str">
        <f>VLOOKUP(Table1[[#This Row],[SKU]],Table2[],3,FALSE)</f>
        <v>Elektronik</v>
      </c>
      <c r="I87" s="37">
        <f>INDEX(Table2[Harga Jual],MATCH(Table1[[#This Row],[SKU]],Table2[SKU],0))</f>
        <v>12000000</v>
      </c>
      <c r="J87" s="37">
        <f>VLOOKUP(Table1[[#This Row],[SKU]],Table2[],4,FALSE)</f>
        <v>8500000</v>
      </c>
      <c r="K87" s="37">
        <f>INDEX(Table3[Biaya Kirim per Unit],MATCH(Table1[[#This Row],[Kota]],Table3[Kota],))</f>
        <v>35000</v>
      </c>
      <c r="L87" s="39">
        <f>VLOOKUP(Table1[[#This Row],[Kode_Promo]],Table4[],2,FALSE)</f>
        <v>0</v>
      </c>
      <c r="M87" s="37">
        <f>Table1[[#This Row],[Jumlah_Unit]]*Table1[[#This Row],[Harga_Satuan]]</f>
        <v>12000000</v>
      </c>
      <c r="N87" s="37">
        <f>Table1[[#This Row],[Total_Pendapatan_Kotor]]*Table1[[#This Row],[Persentase_Diskon]]</f>
        <v>0</v>
      </c>
      <c r="O87" s="37">
        <f>Table1[[#This Row],[Total_Pendapatan_Kotor]]-Table1[[#This Row],[Potongan_Diskon]]</f>
        <v>12000000</v>
      </c>
      <c r="P87" s="37">
        <f>(Table1[[#This Row],[Jumlah_Unit]]*Table1[[#This Row],[HPP_Satuan]])+(Table1[[#This Row],[Jumlah_Unit]]*Table1[[#This Row],[Biaya_Kirim_Satuan]])</f>
        <v>8535000</v>
      </c>
      <c r="Q87" s="37">
        <f>Table1[[#This Row],[Total_Pendapatan_Bersih]]-Table1[[#This Row],[Total_Biaya]]</f>
        <v>3465000</v>
      </c>
      <c r="R87" s="5">
        <f>Table1[[#This Row],[Laba_Kotor]]/Table1[[#This Row],[Total_Pendapatan_Bersih]]</f>
        <v>0.28875000000000001</v>
      </c>
    </row>
    <row r="88" spans="1:18" ht="20.25" thickBot="1" x14ac:dyDescent="0.6">
      <c r="A88" s="3" t="s">
        <v>117</v>
      </c>
      <c r="B88" s="21">
        <v>45744</v>
      </c>
      <c r="C88" s="1" t="s">
        <v>27</v>
      </c>
      <c r="D88" s="1" t="s">
        <v>24</v>
      </c>
      <c r="E88" s="2">
        <v>4</v>
      </c>
      <c r="F88" s="1" t="s">
        <v>25</v>
      </c>
      <c r="G88" s="1" t="str">
        <f>INDEX(Table2[Nama Produk],MATCH(Table1[[#This Row],[SKU]],Table2[SKU],0))</f>
        <v>Mechanical Keyboard</v>
      </c>
      <c r="H88" s="1" t="str">
        <f>VLOOKUP(Table1[[#This Row],[SKU]],Table2[],3,FALSE)</f>
        <v>Aksesori</v>
      </c>
      <c r="I88" s="37">
        <f>INDEX(Table2[Harga Jual],MATCH(Table1[[#This Row],[SKU]],Table2[SKU],0))</f>
        <v>850000</v>
      </c>
      <c r="J88" s="37">
        <f>VLOOKUP(Table1[[#This Row],[SKU]],Table2[],4,FALSE)</f>
        <v>450000</v>
      </c>
      <c r="K88" s="37">
        <f>INDEX(Table3[Biaya Kirim per Unit],MATCH(Table1[[#This Row],[Kota]],Table3[Kota],))</f>
        <v>50000</v>
      </c>
      <c r="L88" s="39">
        <f>VLOOKUP(Table1[[#This Row],[Kode_Promo]],Table4[],2,FALSE)</f>
        <v>0.3</v>
      </c>
      <c r="M88" s="37">
        <f>Table1[[#This Row],[Jumlah_Unit]]*Table1[[#This Row],[Harga_Satuan]]</f>
        <v>3400000</v>
      </c>
      <c r="N88" s="37">
        <f>Table1[[#This Row],[Total_Pendapatan_Kotor]]*Table1[[#This Row],[Persentase_Diskon]]</f>
        <v>1020000</v>
      </c>
      <c r="O88" s="37">
        <f>Table1[[#This Row],[Total_Pendapatan_Kotor]]-Table1[[#This Row],[Potongan_Diskon]]</f>
        <v>2380000</v>
      </c>
      <c r="P88" s="37">
        <f>(Table1[[#This Row],[Jumlah_Unit]]*Table1[[#This Row],[HPP_Satuan]])+(Table1[[#This Row],[Jumlah_Unit]]*Table1[[#This Row],[Biaya_Kirim_Satuan]])</f>
        <v>2000000</v>
      </c>
      <c r="Q88" s="37">
        <f>Table1[[#This Row],[Total_Pendapatan_Bersih]]-Table1[[#This Row],[Total_Biaya]]</f>
        <v>380000</v>
      </c>
      <c r="R88" s="5">
        <f>Table1[[#This Row],[Laba_Kotor]]/Table1[[#This Row],[Total_Pendapatan_Bersih]]</f>
        <v>0.15966386554621848</v>
      </c>
    </row>
    <row r="89" spans="1:18" ht="20.25" thickBot="1" x14ac:dyDescent="0.6">
      <c r="A89" s="3" t="s">
        <v>118</v>
      </c>
      <c r="B89" s="21">
        <v>45745</v>
      </c>
      <c r="C89" s="1" t="s">
        <v>31</v>
      </c>
      <c r="D89" s="1" t="s">
        <v>35</v>
      </c>
      <c r="E89" s="2">
        <v>3</v>
      </c>
      <c r="F89" s="1" t="s">
        <v>33</v>
      </c>
      <c r="G89" s="1" t="str">
        <f>INDEX(Table2[Nama Produk],MATCH(Table1[[#This Row],[SKU]],Table2[SKU],0))</f>
        <v>Meja Adjustable</v>
      </c>
      <c r="H89" s="1" t="str">
        <f>VLOOKUP(Table1[[#This Row],[SKU]],Table2[],3,FALSE)</f>
        <v>Furnitur</v>
      </c>
      <c r="I89" s="37">
        <f>INDEX(Table2[Harga Jual],MATCH(Table1[[#This Row],[SKU]],Table2[SKU],0))</f>
        <v>4200000</v>
      </c>
      <c r="J89" s="37">
        <f>VLOOKUP(Table1[[#This Row],[SKU]],Table2[],4,FALSE)</f>
        <v>2400000</v>
      </c>
      <c r="K89" s="37">
        <f>INDEX(Table3[Biaya Kirim per Unit],MATCH(Table1[[#This Row],[Kota]],Table3[Kota],))</f>
        <v>65000</v>
      </c>
      <c r="L89" s="39">
        <f>VLOOKUP(Table1[[#This Row],[Kode_Promo]],Table4[],2,FALSE)</f>
        <v>0.2</v>
      </c>
      <c r="M89" s="37">
        <f>Table1[[#This Row],[Jumlah_Unit]]*Table1[[#This Row],[Harga_Satuan]]</f>
        <v>12600000</v>
      </c>
      <c r="N89" s="37">
        <f>Table1[[#This Row],[Total_Pendapatan_Kotor]]*Table1[[#This Row],[Persentase_Diskon]]</f>
        <v>2520000</v>
      </c>
      <c r="O89" s="37">
        <f>Table1[[#This Row],[Total_Pendapatan_Kotor]]-Table1[[#This Row],[Potongan_Diskon]]</f>
        <v>10080000</v>
      </c>
      <c r="P89" s="37">
        <f>(Table1[[#This Row],[Jumlah_Unit]]*Table1[[#This Row],[HPP_Satuan]])+(Table1[[#This Row],[Jumlah_Unit]]*Table1[[#This Row],[Biaya_Kirim_Satuan]])</f>
        <v>7395000</v>
      </c>
      <c r="Q89" s="37">
        <f>Table1[[#This Row],[Total_Pendapatan_Bersih]]-Table1[[#This Row],[Total_Biaya]]</f>
        <v>2685000</v>
      </c>
      <c r="R89" s="5">
        <f>Table1[[#This Row],[Laba_Kotor]]/Table1[[#This Row],[Total_Pendapatan_Bersih]]</f>
        <v>0.26636904761904762</v>
      </c>
    </row>
    <row r="90" spans="1:18" ht="20.25" thickBot="1" x14ac:dyDescent="0.6">
      <c r="A90" s="3" t="s">
        <v>119</v>
      </c>
      <c r="B90" s="21">
        <v>45746</v>
      </c>
      <c r="C90" s="1" t="s">
        <v>19</v>
      </c>
      <c r="D90" s="1" t="s">
        <v>32</v>
      </c>
      <c r="E90" s="2">
        <v>2</v>
      </c>
      <c r="F90" s="1" t="s">
        <v>21</v>
      </c>
      <c r="G90" s="1" t="str">
        <f>INDEX(Table2[Nama Produk],MATCH(Table1[[#This Row],[SKU]],Table2[SKU],0))</f>
        <v>Monitor Ergonomis 27</v>
      </c>
      <c r="H90" s="1" t="str">
        <f>VLOOKUP(Table1[[#This Row],[SKU]],Table2[],3,FALSE)</f>
        <v>Elektronik</v>
      </c>
      <c r="I90" s="37">
        <f>INDEX(Table2[Harga Jual],MATCH(Table1[[#This Row],[SKU]],Table2[SKU],0))</f>
        <v>3400000</v>
      </c>
      <c r="J90" s="37">
        <f>VLOOKUP(Table1[[#This Row],[SKU]],Table2[],4,FALSE)</f>
        <v>2100000</v>
      </c>
      <c r="K90" s="37">
        <f>INDEX(Table3[Biaya Kirim per Unit],MATCH(Table1[[#This Row],[Kota]],Table3[Kota],))</f>
        <v>25000</v>
      </c>
      <c r="L90" s="39">
        <f>VLOOKUP(Table1[[#This Row],[Kode_Promo]],Table4[],2,FALSE)</f>
        <v>0.1</v>
      </c>
      <c r="M90" s="37">
        <f>Table1[[#This Row],[Jumlah_Unit]]*Table1[[#This Row],[Harga_Satuan]]</f>
        <v>6800000</v>
      </c>
      <c r="N90" s="37">
        <f>Table1[[#This Row],[Total_Pendapatan_Kotor]]*Table1[[#This Row],[Persentase_Diskon]]</f>
        <v>680000</v>
      </c>
      <c r="O90" s="37">
        <f>Table1[[#This Row],[Total_Pendapatan_Kotor]]-Table1[[#This Row],[Potongan_Diskon]]</f>
        <v>6120000</v>
      </c>
      <c r="P90" s="37">
        <f>(Table1[[#This Row],[Jumlah_Unit]]*Table1[[#This Row],[HPP_Satuan]])+(Table1[[#This Row],[Jumlah_Unit]]*Table1[[#This Row],[Biaya_Kirim_Satuan]])</f>
        <v>4250000</v>
      </c>
      <c r="Q90" s="37">
        <f>Table1[[#This Row],[Total_Pendapatan_Bersih]]-Table1[[#This Row],[Total_Biaya]]</f>
        <v>1870000</v>
      </c>
      <c r="R90" s="5">
        <f>Table1[[#This Row],[Laba_Kotor]]/Table1[[#This Row],[Total_Pendapatan_Bersih]]</f>
        <v>0.30555555555555558</v>
      </c>
    </row>
    <row r="91" spans="1:18" ht="20.25" thickBot="1" x14ac:dyDescent="0.6">
      <c r="A91" s="3" t="s">
        <v>120</v>
      </c>
      <c r="B91" s="21">
        <v>45747</v>
      </c>
      <c r="C91" s="1" t="s">
        <v>23</v>
      </c>
      <c r="D91" s="1" t="s">
        <v>28</v>
      </c>
      <c r="E91" s="2">
        <v>5</v>
      </c>
      <c r="F91" s="1" t="s">
        <v>25</v>
      </c>
      <c r="G91" s="1" t="str">
        <f>INDEX(Table2[Nama Produk],MATCH(Table1[[#This Row],[SKU]],Table2[SKU],0))</f>
        <v>Kursi Kerja Ergonomis</v>
      </c>
      <c r="H91" s="1" t="str">
        <f>VLOOKUP(Table1[[#This Row],[SKU]],Table2[],3,FALSE)</f>
        <v>Furnitur</v>
      </c>
      <c r="I91" s="37">
        <f>INDEX(Table2[Harga Jual],MATCH(Table1[[#This Row],[SKU]],Table2[SKU],0))</f>
        <v>2100000</v>
      </c>
      <c r="J91" s="37">
        <f>VLOOKUP(Table1[[#This Row],[SKU]],Table2[],4,FALSE)</f>
        <v>1200000</v>
      </c>
      <c r="K91" s="37">
        <f>INDEX(Table3[Biaya Kirim per Unit],MATCH(Table1[[#This Row],[Kota]],Table3[Kota],))</f>
        <v>35000</v>
      </c>
      <c r="L91" s="39">
        <f>VLOOKUP(Table1[[#This Row],[Kode_Promo]],Table4[],2,FALSE)</f>
        <v>0.3</v>
      </c>
      <c r="M91" s="37">
        <f>Table1[[#This Row],[Jumlah_Unit]]*Table1[[#This Row],[Harga_Satuan]]</f>
        <v>10500000</v>
      </c>
      <c r="N91" s="37">
        <f>Table1[[#This Row],[Total_Pendapatan_Kotor]]*Table1[[#This Row],[Persentase_Diskon]]</f>
        <v>3150000</v>
      </c>
      <c r="O91" s="37">
        <f>Table1[[#This Row],[Total_Pendapatan_Kotor]]-Table1[[#This Row],[Potongan_Diskon]]</f>
        <v>7350000</v>
      </c>
      <c r="P91" s="37">
        <f>(Table1[[#This Row],[Jumlah_Unit]]*Table1[[#This Row],[HPP_Satuan]])+(Table1[[#This Row],[Jumlah_Unit]]*Table1[[#This Row],[Biaya_Kirim_Satuan]])</f>
        <v>6175000</v>
      </c>
      <c r="Q91" s="37">
        <f>Table1[[#This Row],[Total_Pendapatan_Bersih]]-Table1[[#This Row],[Total_Biaya]]</f>
        <v>1175000</v>
      </c>
      <c r="R91" s="5">
        <f>Table1[[#This Row],[Laba_Kotor]]/Table1[[#This Row],[Total_Pendapatan_Bersih]]</f>
        <v>0.1598639455782313</v>
      </c>
    </row>
    <row r="92" spans="1:18" ht="20.25" thickBot="1" x14ac:dyDescent="0.6">
      <c r="A92" s="3" t="s">
        <v>121</v>
      </c>
      <c r="B92" s="21">
        <v>45748</v>
      </c>
      <c r="C92" s="1" t="s">
        <v>27</v>
      </c>
      <c r="D92" s="1" t="s">
        <v>20</v>
      </c>
      <c r="E92" s="2">
        <v>3</v>
      </c>
      <c r="F92" s="1" t="s">
        <v>29</v>
      </c>
      <c r="G92" s="1" t="str">
        <f>INDEX(Table2[Nama Produk],MATCH(Table1[[#This Row],[SKU]],Table2[SKU],0))</f>
        <v>Laptop Pro 14</v>
      </c>
      <c r="H92" s="1" t="str">
        <f>VLOOKUP(Table1[[#This Row],[SKU]],Table2[],3,FALSE)</f>
        <v>Elektronik</v>
      </c>
      <c r="I92" s="37">
        <f>INDEX(Table2[Harga Jual],MATCH(Table1[[#This Row],[SKU]],Table2[SKU],0))</f>
        <v>12000000</v>
      </c>
      <c r="J92" s="37">
        <f>VLOOKUP(Table1[[#This Row],[SKU]],Table2[],4,FALSE)</f>
        <v>8500000</v>
      </c>
      <c r="K92" s="37">
        <f>INDEX(Table3[Biaya Kirim per Unit],MATCH(Table1[[#This Row],[Kota]],Table3[Kota],))</f>
        <v>50000</v>
      </c>
      <c r="L92" s="39">
        <f>VLOOKUP(Table1[[#This Row],[Kode_Promo]],Table4[],2,FALSE)</f>
        <v>0</v>
      </c>
      <c r="M92" s="37">
        <f>Table1[[#This Row],[Jumlah_Unit]]*Table1[[#This Row],[Harga_Satuan]]</f>
        <v>36000000</v>
      </c>
      <c r="N92" s="37">
        <f>Table1[[#This Row],[Total_Pendapatan_Kotor]]*Table1[[#This Row],[Persentase_Diskon]]</f>
        <v>0</v>
      </c>
      <c r="O92" s="37">
        <f>Table1[[#This Row],[Total_Pendapatan_Kotor]]-Table1[[#This Row],[Potongan_Diskon]]</f>
        <v>36000000</v>
      </c>
      <c r="P92" s="37">
        <f>(Table1[[#This Row],[Jumlah_Unit]]*Table1[[#This Row],[HPP_Satuan]])+(Table1[[#This Row],[Jumlah_Unit]]*Table1[[#This Row],[Biaya_Kirim_Satuan]])</f>
        <v>25650000</v>
      </c>
      <c r="Q92" s="37">
        <f>Table1[[#This Row],[Total_Pendapatan_Bersih]]-Table1[[#This Row],[Total_Biaya]]</f>
        <v>10350000</v>
      </c>
      <c r="R92" s="5">
        <f>Table1[[#This Row],[Laba_Kotor]]/Table1[[#This Row],[Total_Pendapatan_Bersih]]</f>
        <v>0.28749999999999998</v>
      </c>
    </row>
    <row r="93" spans="1:18" ht="20.25" thickBot="1" x14ac:dyDescent="0.6">
      <c r="A93" s="3" t="s">
        <v>122</v>
      </c>
      <c r="B93" s="21">
        <v>45749</v>
      </c>
      <c r="C93" s="1" t="s">
        <v>31</v>
      </c>
      <c r="D93" s="1" t="s">
        <v>24</v>
      </c>
      <c r="E93" s="2">
        <v>6</v>
      </c>
      <c r="F93" s="1" t="s">
        <v>33</v>
      </c>
      <c r="G93" s="1" t="str">
        <f>INDEX(Table2[Nama Produk],MATCH(Table1[[#This Row],[SKU]],Table2[SKU],0))</f>
        <v>Mechanical Keyboard</v>
      </c>
      <c r="H93" s="1" t="str">
        <f>VLOOKUP(Table1[[#This Row],[SKU]],Table2[],3,FALSE)</f>
        <v>Aksesori</v>
      </c>
      <c r="I93" s="37">
        <f>INDEX(Table2[Harga Jual],MATCH(Table1[[#This Row],[SKU]],Table2[SKU],0))</f>
        <v>850000</v>
      </c>
      <c r="J93" s="37">
        <f>VLOOKUP(Table1[[#This Row],[SKU]],Table2[],4,FALSE)</f>
        <v>450000</v>
      </c>
      <c r="K93" s="37">
        <f>INDEX(Table3[Biaya Kirim per Unit],MATCH(Table1[[#This Row],[Kota]],Table3[Kota],))</f>
        <v>65000</v>
      </c>
      <c r="L93" s="39">
        <f>VLOOKUP(Table1[[#This Row],[Kode_Promo]],Table4[],2,FALSE)</f>
        <v>0.2</v>
      </c>
      <c r="M93" s="37">
        <f>Table1[[#This Row],[Jumlah_Unit]]*Table1[[#This Row],[Harga_Satuan]]</f>
        <v>5100000</v>
      </c>
      <c r="N93" s="37">
        <f>Table1[[#This Row],[Total_Pendapatan_Kotor]]*Table1[[#This Row],[Persentase_Diskon]]</f>
        <v>1020000</v>
      </c>
      <c r="O93" s="37">
        <f>Table1[[#This Row],[Total_Pendapatan_Kotor]]-Table1[[#This Row],[Potongan_Diskon]]</f>
        <v>4080000</v>
      </c>
      <c r="P93" s="37">
        <f>(Table1[[#This Row],[Jumlah_Unit]]*Table1[[#This Row],[HPP_Satuan]])+(Table1[[#This Row],[Jumlah_Unit]]*Table1[[#This Row],[Biaya_Kirim_Satuan]])</f>
        <v>3090000</v>
      </c>
      <c r="Q93" s="37">
        <f>Table1[[#This Row],[Total_Pendapatan_Bersih]]-Table1[[#This Row],[Total_Biaya]]</f>
        <v>990000</v>
      </c>
      <c r="R93" s="5">
        <f>Table1[[#This Row],[Laba_Kotor]]/Table1[[#This Row],[Total_Pendapatan_Bersih]]</f>
        <v>0.24264705882352941</v>
      </c>
    </row>
    <row r="94" spans="1:18" ht="20.25" thickBot="1" x14ac:dyDescent="0.6">
      <c r="A94" s="3" t="s">
        <v>123</v>
      </c>
      <c r="B94" s="21">
        <v>45750</v>
      </c>
      <c r="C94" s="1" t="s">
        <v>19</v>
      </c>
      <c r="D94" s="1" t="s">
        <v>28</v>
      </c>
      <c r="E94" s="2">
        <v>1</v>
      </c>
      <c r="F94" s="1" t="s">
        <v>21</v>
      </c>
      <c r="G94" s="1" t="str">
        <f>INDEX(Table2[Nama Produk],MATCH(Table1[[#This Row],[SKU]],Table2[SKU],0))</f>
        <v>Kursi Kerja Ergonomis</v>
      </c>
      <c r="H94" s="1" t="str">
        <f>VLOOKUP(Table1[[#This Row],[SKU]],Table2[],3,FALSE)</f>
        <v>Furnitur</v>
      </c>
      <c r="I94" s="37">
        <f>INDEX(Table2[Harga Jual],MATCH(Table1[[#This Row],[SKU]],Table2[SKU],0))</f>
        <v>2100000</v>
      </c>
      <c r="J94" s="37">
        <f>VLOOKUP(Table1[[#This Row],[SKU]],Table2[],4,FALSE)</f>
        <v>1200000</v>
      </c>
      <c r="K94" s="37">
        <f>INDEX(Table3[Biaya Kirim per Unit],MATCH(Table1[[#This Row],[Kota]],Table3[Kota],))</f>
        <v>25000</v>
      </c>
      <c r="L94" s="39">
        <f>VLOOKUP(Table1[[#This Row],[Kode_Promo]],Table4[],2,FALSE)</f>
        <v>0.1</v>
      </c>
      <c r="M94" s="37">
        <f>Table1[[#This Row],[Jumlah_Unit]]*Table1[[#This Row],[Harga_Satuan]]</f>
        <v>2100000</v>
      </c>
      <c r="N94" s="37">
        <f>Table1[[#This Row],[Total_Pendapatan_Kotor]]*Table1[[#This Row],[Persentase_Diskon]]</f>
        <v>210000</v>
      </c>
      <c r="O94" s="37">
        <f>Table1[[#This Row],[Total_Pendapatan_Kotor]]-Table1[[#This Row],[Potongan_Diskon]]</f>
        <v>1890000</v>
      </c>
      <c r="P94" s="37">
        <f>(Table1[[#This Row],[Jumlah_Unit]]*Table1[[#This Row],[HPP_Satuan]])+(Table1[[#This Row],[Jumlah_Unit]]*Table1[[#This Row],[Biaya_Kirim_Satuan]])</f>
        <v>1225000</v>
      </c>
      <c r="Q94" s="37">
        <f>Table1[[#This Row],[Total_Pendapatan_Bersih]]-Table1[[#This Row],[Total_Biaya]]</f>
        <v>665000</v>
      </c>
      <c r="R94" s="5">
        <f>Table1[[#This Row],[Laba_Kotor]]/Table1[[#This Row],[Total_Pendapatan_Bersih]]</f>
        <v>0.35185185185185186</v>
      </c>
    </row>
    <row r="95" spans="1:18" ht="20.25" thickBot="1" x14ac:dyDescent="0.6">
      <c r="A95" s="3" t="s">
        <v>124</v>
      </c>
      <c r="B95" s="21">
        <v>45751</v>
      </c>
      <c r="C95" s="1" t="s">
        <v>23</v>
      </c>
      <c r="D95" s="1" t="s">
        <v>32</v>
      </c>
      <c r="E95" s="2">
        <v>3</v>
      </c>
      <c r="F95" s="1" t="s">
        <v>25</v>
      </c>
      <c r="G95" s="1" t="str">
        <f>INDEX(Table2[Nama Produk],MATCH(Table1[[#This Row],[SKU]],Table2[SKU],0))</f>
        <v>Monitor Ergonomis 27</v>
      </c>
      <c r="H95" s="1" t="str">
        <f>VLOOKUP(Table1[[#This Row],[SKU]],Table2[],3,FALSE)</f>
        <v>Elektronik</v>
      </c>
      <c r="I95" s="37">
        <f>INDEX(Table2[Harga Jual],MATCH(Table1[[#This Row],[SKU]],Table2[SKU],0))</f>
        <v>3400000</v>
      </c>
      <c r="J95" s="37">
        <f>VLOOKUP(Table1[[#This Row],[SKU]],Table2[],4,FALSE)</f>
        <v>2100000</v>
      </c>
      <c r="K95" s="37">
        <f>INDEX(Table3[Biaya Kirim per Unit],MATCH(Table1[[#This Row],[Kota]],Table3[Kota],))</f>
        <v>35000</v>
      </c>
      <c r="L95" s="39">
        <f>VLOOKUP(Table1[[#This Row],[Kode_Promo]],Table4[],2,FALSE)</f>
        <v>0.3</v>
      </c>
      <c r="M95" s="37">
        <f>Table1[[#This Row],[Jumlah_Unit]]*Table1[[#This Row],[Harga_Satuan]]</f>
        <v>10200000</v>
      </c>
      <c r="N95" s="37">
        <f>Table1[[#This Row],[Total_Pendapatan_Kotor]]*Table1[[#This Row],[Persentase_Diskon]]</f>
        <v>3060000</v>
      </c>
      <c r="O95" s="37">
        <f>Table1[[#This Row],[Total_Pendapatan_Kotor]]-Table1[[#This Row],[Potongan_Diskon]]</f>
        <v>7140000</v>
      </c>
      <c r="P95" s="37">
        <f>(Table1[[#This Row],[Jumlah_Unit]]*Table1[[#This Row],[HPP_Satuan]])+(Table1[[#This Row],[Jumlah_Unit]]*Table1[[#This Row],[Biaya_Kirim_Satuan]])</f>
        <v>6405000</v>
      </c>
      <c r="Q95" s="37">
        <f>Table1[[#This Row],[Total_Pendapatan_Bersih]]-Table1[[#This Row],[Total_Biaya]]</f>
        <v>735000</v>
      </c>
      <c r="R95" s="5">
        <f>Table1[[#This Row],[Laba_Kotor]]/Table1[[#This Row],[Total_Pendapatan_Bersih]]</f>
        <v>0.10294117647058823</v>
      </c>
    </row>
    <row r="96" spans="1:18" ht="20.25" thickBot="1" x14ac:dyDescent="0.6">
      <c r="A96" s="3" t="s">
        <v>125</v>
      </c>
      <c r="B96" s="21">
        <v>45752</v>
      </c>
      <c r="C96" s="1" t="s">
        <v>27</v>
      </c>
      <c r="D96" s="1" t="s">
        <v>35</v>
      </c>
      <c r="E96" s="2">
        <v>2</v>
      </c>
      <c r="F96" s="1" t="s">
        <v>29</v>
      </c>
      <c r="G96" s="1" t="str">
        <f>INDEX(Table2[Nama Produk],MATCH(Table1[[#This Row],[SKU]],Table2[SKU],0))</f>
        <v>Meja Adjustable</v>
      </c>
      <c r="H96" s="1" t="str">
        <f>VLOOKUP(Table1[[#This Row],[SKU]],Table2[],3,FALSE)</f>
        <v>Furnitur</v>
      </c>
      <c r="I96" s="37">
        <f>INDEX(Table2[Harga Jual],MATCH(Table1[[#This Row],[SKU]],Table2[SKU],0))</f>
        <v>4200000</v>
      </c>
      <c r="J96" s="37">
        <f>VLOOKUP(Table1[[#This Row],[SKU]],Table2[],4,FALSE)</f>
        <v>2400000</v>
      </c>
      <c r="K96" s="37">
        <f>INDEX(Table3[Biaya Kirim per Unit],MATCH(Table1[[#This Row],[Kota]],Table3[Kota],))</f>
        <v>50000</v>
      </c>
      <c r="L96" s="39">
        <f>VLOOKUP(Table1[[#This Row],[Kode_Promo]],Table4[],2,FALSE)</f>
        <v>0</v>
      </c>
      <c r="M96" s="37">
        <f>Table1[[#This Row],[Jumlah_Unit]]*Table1[[#This Row],[Harga_Satuan]]</f>
        <v>8400000</v>
      </c>
      <c r="N96" s="37">
        <f>Table1[[#This Row],[Total_Pendapatan_Kotor]]*Table1[[#This Row],[Persentase_Diskon]]</f>
        <v>0</v>
      </c>
      <c r="O96" s="37">
        <f>Table1[[#This Row],[Total_Pendapatan_Kotor]]-Table1[[#This Row],[Potongan_Diskon]]</f>
        <v>8400000</v>
      </c>
      <c r="P96" s="37">
        <f>(Table1[[#This Row],[Jumlah_Unit]]*Table1[[#This Row],[HPP_Satuan]])+(Table1[[#This Row],[Jumlah_Unit]]*Table1[[#This Row],[Biaya_Kirim_Satuan]])</f>
        <v>4900000</v>
      </c>
      <c r="Q96" s="37">
        <f>Table1[[#This Row],[Total_Pendapatan_Bersih]]-Table1[[#This Row],[Total_Biaya]]</f>
        <v>3500000</v>
      </c>
      <c r="R96" s="5">
        <f>Table1[[#This Row],[Laba_Kotor]]/Table1[[#This Row],[Total_Pendapatan_Bersih]]</f>
        <v>0.41666666666666669</v>
      </c>
    </row>
    <row r="97" spans="1:18" ht="20.25" thickBot="1" x14ac:dyDescent="0.6">
      <c r="A97" s="3" t="s">
        <v>126</v>
      </c>
      <c r="B97" s="21">
        <v>45753</v>
      </c>
      <c r="C97" s="1" t="s">
        <v>31</v>
      </c>
      <c r="D97" s="1" t="s">
        <v>20</v>
      </c>
      <c r="E97" s="2">
        <v>2</v>
      </c>
      <c r="F97" s="1" t="s">
        <v>33</v>
      </c>
      <c r="G97" s="1" t="str">
        <f>INDEX(Table2[Nama Produk],MATCH(Table1[[#This Row],[SKU]],Table2[SKU],0))</f>
        <v>Laptop Pro 14</v>
      </c>
      <c r="H97" s="1" t="str">
        <f>VLOOKUP(Table1[[#This Row],[SKU]],Table2[],3,FALSE)</f>
        <v>Elektronik</v>
      </c>
      <c r="I97" s="37">
        <f>INDEX(Table2[Harga Jual],MATCH(Table1[[#This Row],[SKU]],Table2[SKU],0))</f>
        <v>12000000</v>
      </c>
      <c r="J97" s="37">
        <f>VLOOKUP(Table1[[#This Row],[SKU]],Table2[],4,FALSE)</f>
        <v>8500000</v>
      </c>
      <c r="K97" s="37">
        <f>INDEX(Table3[Biaya Kirim per Unit],MATCH(Table1[[#This Row],[Kota]],Table3[Kota],))</f>
        <v>65000</v>
      </c>
      <c r="L97" s="39">
        <f>VLOOKUP(Table1[[#This Row],[Kode_Promo]],Table4[],2,FALSE)</f>
        <v>0.2</v>
      </c>
      <c r="M97" s="37">
        <f>Table1[[#This Row],[Jumlah_Unit]]*Table1[[#This Row],[Harga_Satuan]]</f>
        <v>24000000</v>
      </c>
      <c r="N97" s="37">
        <f>Table1[[#This Row],[Total_Pendapatan_Kotor]]*Table1[[#This Row],[Persentase_Diskon]]</f>
        <v>4800000</v>
      </c>
      <c r="O97" s="37">
        <f>Table1[[#This Row],[Total_Pendapatan_Kotor]]-Table1[[#This Row],[Potongan_Diskon]]</f>
        <v>19200000</v>
      </c>
      <c r="P97" s="37">
        <f>(Table1[[#This Row],[Jumlah_Unit]]*Table1[[#This Row],[HPP_Satuan]])+(Table1[[#This Row],[Jumlah_Unit]]*Table1[[#This Row],[Biaya_Kirim_Satuan]])</f>
        <v>17130000</v>
      </c>
      <c r="Q97" s="37">
        <f>Table1[[#This Row],[Total_Pendapatan_Bersih]]-Table1[[#This Row],[Total_Biaya]]</f>
        <v>2070000</v>
      </c>
      <c r="R97" s="5">
        <f>Table1[[#This Row],[Laba_Kotor]]/Table1[[#This Row],[Total_Pendapatan_Bersih]]</f>
        <v>0.10781250000000001</v>
      </c>
    </row>
    <row r="98" spans="1:18" ht="20.25" thickBot="1" x14ac:dyDescent="0.6">
      <c r="A98" s="3" t="s">
        <v>127</v>
      </c>
      <c r="B98" s="21">
        <v>45754</v>
      </c>
      <c r="C98" s="1" t="s">
        <v>19</v>
      </c>
      <c r="D98" s="1" t="s">
        <v>24</v>
      </c>
      <c r="E98" s="2">
        <v>7</v>
      </c>
      <c r="F98" s="1" t="s">
        <v>21</v>
      </c>
      <c r="G98" s="1" t="str">
        <f>INDEX(Table2[Nama Produk],MATCH(Table1[[#This Row],[SKU]],Table2[SKU],0))</f>
        <v>Mechanical Keyboard</v>
      </c>
      <c r="H98" s="1" t="str">
        <f>VLOOKUP(Table1[[#This Row],[SKU]],Table2[],3,FALSE)</f>
        <v>Aksesori</v>
      </c>
      <c r="I98" s="37">
        <f>INDEX(Table2[Harga Jual],MATCH(Table1[[#This Row],[SKU]],Table2[SKU],0))</f>
        <v>850000</v>
      </c>
      <c r="J98" s="37">
        <f>VLOOKUP(Table1[[#This Row],[SKU]],Table2[],4,FALSE)</f>
        <v>450000</v>
      </c>
      <c r="K98" s="37">
        <f>INDEX(Table3[Biaya Kirim per Unit],MATCH(Table1[[#This Row],[Kota]],Table3[Kota],))</f>
        <v>25000</v>
      </c>
      <c r="L98" s="39">
        <f>VLOOKUP(Table1[[#This Row],[Kode_Promo]],Table4[],2,FALSE)</f>
        <v>0.1</v>
      </c>
      <c r="M98" s="37">
        <f>Table1[[#This Row],[Jumlah_Unit]]*Table1[[#This Row],[Harga_Satuan]]</f>
        <v>5950000</v>
      </c>
      <c r="N98" s="37">
        <f>Table1[[#This Row],[Total_Pendapatan_Kotor]]*Table1[[#This Row],[Persentase_Diskon]]</f>
        <v>595000</v>
      </c>
      <c r="O98" s="37">
        <f>Table1[[#This Row],[Total_Pendapatan_Kotor]]-Table1[[#This Row],[Potongan_Diskon]]</f>
        <v>5355000</v>
      </c>
      <c r="P98" s="37">
        <f>(Table1[[#This Row],[Jumlah_Unit]]*Table1[[#This Row],[HPP_Satuan]])+(Table1[[#This Row],[Jumlah_Unit]]*Table1[[#This Row],[Biaya_Kirim_Satuan]])</f>
        <v>3325000</v>
      </c>
      <c r="Q98" s="37">
        <f>Table1[[#This Row],[Total_Pendapatan_Bersih]]-Table1[[#This Row],[Total_Biaya]]</f>
        <v>2030000</v>
      </c>
      <c r="R98" s="5">
        <f>Table1[[#This Row],[Laba_Kotor]]/Table1[[#This Row],[Total_Pendapatan_Bersih]]</f>
        <v>0.37908496732026142</v>
      </c>
    </row>
    <row r="99" spans="1:18" ht="20.25" thickBot="1" x14ac:dyDescent="0.6">
      <c r="A99" s="3" t="s">
        <v>128</v>
      </c>
      <c r="B99" s="21">
        <v>45755</v>
      </c>
      <c r="C99" s="1" t="s">
        <v>23</v>
      </c>
      <c r="D99" s="1" t="s">
        <v>35</v>
      </c>
      <c r="E99" s="2">
        <v>1</v>
      </c>
      <c r="F99" s="1" t="s">
        <v>25</v>
      </c>
      <c r="G99" s="1" t="str">
        <f>INDEX(Table2[Nama Produk],MATCH(Table1[[#This Row],[SKU]],Table2[SKU],0))</f>
        <v>Meja Adjustable</v>
      </c>
      <c r="H99" s="1" t="str">
        <f>VLOOKUP(Table1[[#This Row],[SKU]],Table2[],3,FALSE)</f>
        <v>Furnitur</v>
      </c>
      <c r="I99" s="37">
        <f>INDEX(Table2[Harga Jual],MATCH(Table1[[#This Row],[SKU]],Table2[SKU],0))</f>
        <v>4200000</v>
      </c>
      <c r="J99" s="37">
        <f>VLOOKUP(Table1[[#This Row],[SKU]],Table2[],4,FALSE)</f>
        <v>2400000</v>
      </c>
      <c r="K99" s="37">
        <f>INDEX(Table3[Biaya Kirim per Unit],MATCH(Table1[[#This Row],[Kota]],Table3[Kota],))</f>
        <v>35000</v>
      </c>
      <c r="L99" s="39">
        <f>VLOOKUP(Table1[[#This Row],[Kode_Promo]],Table4[],2,FALSE)</f>
        <v>0.3</v>
      </c>
      <c r="M99" s="37">
        <f>Table1[[#This Row],[Jumlah_Unit]]*Table1[[#This Row],[Harga_Satuan]]</f>
        <v>4200000</v>
      </c>
      <c r="N99" s="37">
        <f>Table1[[#This Row],[Total_Pendapatan_Kotor]]*Table1[[#This Row],[Persentase_Diskon]]</f>
        <v>1260000</v>
      </c>
      <c r="O99" s="37">
        <f>Table1[[#This Row],[Total_Pendapatan_Kotor]]-Table1[[#This Row],[Potongan_Diskon]]</f>
        <v>2940000</v>
      </c>
      <c r="P99" s="37">
        <f>(Table1[[#This Row],[Jumlah_Unit]]*Table1[[#This Row],[HPP_Satuan]])+(Table1[[#This Row],[Jumlah_Unit]]*Table1[[#This Row],[Biaya_Kirim_Satuan]])</f>
        <v>2435000</v>
      </c>
      <c r="Q99" s="37">
        <f>Table1[[#This Row],[Total_Pendapatan_Bersih]]-Table1[[#This Row],[Total_Biaya]]</f>
        <v>505000</v>
      </c>
      <c r="R99" s="5">
        <f>Table1[[#This Row],[Laba_Kotor]]/Table1[[#This Row],[Total_Pendapatan_Bersih]]</f>
        <v>0.17176870748299319</v>
      </c>
    </row>
    <row r="100" spans="1:18" ht="20.25" thickBot="1" x14ac:dyDescent="0.6">
      <c r="A100" s="3" t="s">
        <v>129</v>
      </c>
      <c r="B100" s="21">
        <v>45756</v>
      </c>
      <c r="C100" s="1" t="s">
        <v>27</v>
      </c>
      <c r="D100" s="1" t="s">
        <v>32</v>
      </c>
      <c r="E100" s="2">
        <v>4</v>
      </c>
      <c r="F100" s="1" t="s">
        <v>29</v>
      </c>
      <c r="G100" s="1" t="str">
        <f>INDEX(Table2[Nama Produk],MATCH(Table1[[#This Row],[SKU]],Table2[SKU],0))</f>
        <v>Monitor Ergonomis 27</v>
      </c>
      <c r="H100" s="1" t="str">
        <f>VLOOKUP(Table1[[#This Row],[SKU]],Table2[],3,FALSE)</f>
        <v>Elektronik</v>
      </c>
      <c r="I100" s="37">
        <f>INDEX(Table2[Harga Jual],MATCH(Table1[[#This Row],[SKU]],Table2[SKU],0))</f>
        <v>3400000</v>
      </c>
      <c r="J100" s="37">
        <f>VLOOKUP(Table1[[#This Row],[SKU]],Table2[],4,FALSE)</f>
        <v>2100000</v>
      </c>
      <c r="K100" s="37">
        <f>INDEX(Table3[Biaya Kirim per Unit],MATCH(Table1[[#This Row],[Kota]],Table3[Kota],))</f>
        <v>50000</v>
      </c>
      <c r="L100" s="39">
        <f>VLOOKUP(Table1[[#This Row],[Kode_Promo]],Table4[],2,FALSE)</f>
        <v>0</v>
      </c>
      <c r="M100" s="37">
        <f>Table1[[#This Row],[Jumlah_Unit]]*Table1[[#This Row],[Harga_Satuan]]</f>
        <v>13600000</v>
      </c>
      <c r="N100" s="37">
        <f>Table1[[#This Row],[Total_Pendapatan_Kotor]]*Table1[[#This Row],[Persentase_Diskon]]</f>
        <v>0</v>
      </c>
      <c r="O100" s="37">
        <f>Table1[[#This Row],[Total_Pendapatan_Kotor]]-Table1[[#This Row],[Potongan_Diskon]]</f>
        <v>13600000</v>
      </c>
      <c r="P100" s="37">
        <f>(Table1[[#This Row],[Jumlah_Unit]]*Table1[[#This Row],[HPP_Satuan]])+(Table1[[#This Row],[Jumlah_Unit]]*Table1[[#This Row],[Biaya_Kirim_Satuan]])</f>
        <v>8600000</v>
      </c>
      <c r="Q100" s="37">
        <f>Table1[[#This Row],[Total_Pendapatan_Bersih]]-Table1[[#This Row],[Total_Biaya]]</f>
        <v>5000000</v>
      </c>
      <c r="R100" s="5">
        <f>Table1[[#This Row],[Laba_Kotor]]/Table1[[#This Row],[Total_Pendapatan_Bersih]]</f>
        <v>0.36764705882352944</v>
      </c>
    </row>
    <row r="101" spans="1:18" ht="20.25" thickBot="1" x14ac:dyDescent="0.6">
      <c r="A101" s="3" t="s">
        <v>130</v>
      </c>
      <c r="B101" s="21">
        <v>45757</v>
      </c>
      <c r="C101" s="1" t="s">
        <v>31</v>
      </c>
      <c r="D101" s="1" t="s">
        <v>28</v>
      </c>
      <c r="E101" s="2">
        <v>2</v>
      </c>
      <c r="F101" s="1" t="s">
        <v>33</v>
      </c>
      <c r="G101" s="1" t="str">
        <f>INDEX(Table2[Nama Produk],MATCH(Table1[[#This Row],[SKU]],Table2[SKU],0))</f>
        <v>Kursi Kerja Ergonomis</v>
      </c>
      <c r="H101" s="1" t="str">
        <f>VLOOKUP(Table1[[#This Row],[SKU]],Table2[],3,FALSE)</f>
        <v>Furnitur</v>
      </c>
      <c r="I101" s="37">
        <f>INDEX(Table2[Harga Jual],MATCH(Table1[[#This Row],[SKU]],Table2[SKU],0))</f>
        <v>2100000</v>
      </c>
      <c r="J101" s="37">
        <f>VLOOKUP(Table1[[#This Row],[SKU]],Table2[],4,FALSE)</f>
        <v>1200000</v>
      </c>
      <c r="K101" s="37">
        <f>INDEX(Table3[Biaya Kirim per Unit],MATCH(Table1[[#This Row],[Kota]],Table3[Kota],))</f>
        <v>65000</v>
      </c>
      <c r="L101" s="39">
        <f>VLOOKUP(Table1[[#This Row],[Kode_Promo]],Table4[],2,FALSE)</f>
        <v>0.2</v>
      </c>
      <c r="M101" s="37">
        <f>Table1[[#This Row],[Jumlah_Unit]]*Table1[[#This Row],[Harga_Satuan]]</f>
        <v>4200000</v>
      </c>
      <c r="N101" s="37">
        <f>Table1[[#This Row],[Total_Pendapatan_Kotor]]*Table1[[#This Row],[Persentase_Diskon]]</f>
        <v>840000</v>
      </c>
      <c r="O101" s="37">
        <f>Table1[[#This Row],[Total_Pendapatan_Kotor]]-Table1[[#This Row],[Potongan_Diskon]]</f>
        <v>3360000</v>
      </c>
      <c r="P101" s="37">
        <f>(Table1[[#This Row],[Jumlah_Unit]]*Table1[[#This Row],[HPP_Satuan]])+(Table1[[#This Row],[Jumlah_Unit]]*Table1[[#This Row],[Biaya_Kirim_Satuan]])</f>
        <v>2530000</v>
      </c>
      <c r="Q101" s="37">
        <f>Table1[[#This Row],[Total_Pendapatan_Bersih]]-Table1[[#This Row],[Total_Biaya]]</f>
        <v>830000</v>
      </c>
      <c r="R101" s="5">
        <f>Table1[[#This Row],[Laba_Kotor]]/Table1[[#This Row],[Total_Pendapatan_Bersih]]</f>
        <v>0.24702380952380953</v>
      </c>
    </row>
    <row r="102" spans="1:18" ht="20.25" thickBot="1" x14ac:dyDescent="0.6">
      <c r="A102" s="3" t="s">
        <v>131</v>
      </c>
      <c r="B102" s="21">
        <v>45758</v>
      </c>
      <c r="C102" s="1" t="s">
        <v>19</v>
      </c>
      <c r="D102" s="1" t="s">
        <v>20</v>
      </c>
      <c r="E102" s="2">
        <v>1</v>
      </c>
      <c r="F102" s="1" t="s">
        <v>21</v>
      </c>
      <c r="G102" s="1" t="str">
        <f>INDEX(Table2[Nama Produk],MATCH(Table1[[#This Row],[SKU]],Table2[SKU],0))</f>
        <v>Laptop Pro 14</v>
      </c>
      <c r="H102" s="1" t="str">
        <f>VLOOKUP(Table1[[#This Row],[SKU]],Table2[],3,FALSE)</f>
        <v>Elektronik</v>
      </c>
      <c r="I102" s="37">
        <f>INDEX(Table2[Harga Jual],MATCH(Table1[[#This Row],[SKU]],Table2[SKU],0))</f>
        <v>12000000</v>
      </c>
      <c r="J102" s="37">
        <f>VLOOKUP(Table1[[#This Row],[SKU]],Table2[],4,FALSE)</f>
        <v>8500000</v>
      </c>
      <c r="K102" s="37">
        <f>INDEX(Table3[Biaya Kirim per Unit],MATCH(Table1[[#This Row],[Kota]],Table3[Kota],))</f>
        <v>25000</v>
      </c>
      <c r="L102" s="39">
        <f>VLOOKUP(Table1[[#This Row],[Kode_Promo]],Table4[],2,FALSE)</f>
        <v>0.1</v>
      </c>
      <c r="M102" s="37">
        <f>Table1[[#This Row],[Jumlah_Unit]]*Table1[[#This Row],[Harga_Satuan]]</f>
        <v>12000000</v>
      </c>
      <c r="N102" s="37">
        <f>Table1[[#This Row],[Total_Pendapatan_Kotor]]*Table1[[#This Row],[Persentase_Diskon]]</f>
        <v>1200000</v>
      </c>
      <c r="O102" s="37">
        <f>Table1[[#This Row],[Total_Pendapatan_Kotor]]-Table1[[#This Row],[Potongan_Diskon]]</f>
        <v>10800000</v>
      </c>
      <c r="P102" s="37">
        <f>(Table1[[#This Row],[Jumlah_Unit]]*Table1[[#This Row],[HPP_Satuan]])+(Table1[[#This Row],[Jumlah_Unit]]*Table1[[#This Row],[Biaya_Kirim_Satuan]])</f>
        <v>8525000</v>
      </c>
      <c r="Q102" s="37">
        <f>Table1[[#This Row],[Total_Pendapatan_Bersih]]-Table1[[#This Row],[Total_Biaya]]</f>
        <v>2275000</v>
      </c>
      <c r="R102" s="5">
        <f>Table1[[#This Row],[Laba_Kotor]]/Table1[[#This Row],[Total_Pendapatan_Bersih]]</f>
        <v>0.21064814814814814</v>
      </c>
    </row>
    <row r="103" spans="1:18" ht="20.25" thickBot="1" x14ac:dyDescent="0.6">
      <c r="A103" s="3" t="s">
        <v>132</v>
      </c>
      <c r="B103" s="21">
        <v>45759</v>
      </c>
      <c r="C103" s="1" t="s">
        <v>23</v>
      </c>
      <c r="D103" s="1" t="s">
        <v>24</v>
      </c>
      <c r="E103" s="2">
        <v>5</v>
      </c>
      <c r="F103" s="1" t="s">
        <v>25</v>
      </c>
      <c r="G103" s="1" t="str">
        <f>INDEX(Table2[Nama Produk],MATCH(Table1[[#This Row],[SKU]],Table2[SKU],0))</f>
        <v>Mechanical Keyboard</v>
      </c>
      <c r="H103" s="1" t="str">
        <f>VLOOKUP(Table1[[#This Row],[SKU]],Table2[],3,FALSE)</f>
        <v>Aksesori</v>
      </c>
      <c r="I103" s="37">
        <f>INDEX(Table2[Harga Jual],MATCH(Table1[[#This Row],[SKU]],Table2[SKU],0))</f>
        <v>850000</v>
      </c>
      <c r="J103" s="37">
        <f>VLOOKUP(Table1[[#This Row],[SKU]],Table2[],4,FALSE)</f>
        <v>450000</v>
      </c>
      <c r="K103" s="37">
        <f>INDEX(Table3[Biaya Kirim per Unit],MATCH(Table1[[#This Row],[Kota]],Table3[Kota],))</f>
        <v>35000</v>
      </c>
      <c r="L103" s="39">
        <f>VLOOKUP(Table1[[#This Row],[Kode_Promo]],Table4[],2,FALSE)</f>
        <v>0.3</v>
      </c>
      <c r="M103" s="37">
        <f>Table1[[#This Row],[Jumlah_Unit]]*Table1[[#This Row],[Harga_Satuan]]</f>
        <v>4250000</v>
      </c>
      <c r="N103" s="37">
        <f>Table1[[#This Row],[Total_Pendapatan_Kotor]]*Table1[[#This Row],[Persentase_Diskon]]</f>
        <v>1275000</v>
      </c>
      <c r="O103" s="37">
        <f>Table1[[#This Row],[Total_Pendapatan_Kotor]]-Table1[[#This Row],[Potongan_Diskon]]</f>
        <v>2975000</v>
      </c>
      <c r="P103" s="37">
        <f>(Table1[[#This Row],[Jumlah_Unit]]*Table1[[#This Row],[HPP_Satuan]])+(Table1[[#This Row],[Jumlah_Unit]]*Table1[[#This Row],[Biaya_Kirim_Satuan]])</f>
        <v>2425000</v>
      </c>
      <c r="Q103" s="37">
        <f>Table1[[#This Row],[Total_Pendapatan_Bersih]]-Table1[[#This Row],[Total_Biaya]]</f>
        <v>550000</v>
      </c>
      <c r="R103" s="5">
        <f>Table1[[#This Row],[Laba_Kotor]]/Table1[[#This Row],[Total_Pendapatan_Bersih]]</f>
        <v>0.18487394957983194</v>
      </c>
    </row>
    <row r="104" spans="1:18" ht="20.25" thickBot="1" x14ac:dyDescent="0.6">
      <c r="A104" s="3" t="s">
        <v>133</v>
      </c>
      <c r="B104" s="21">
        <v>45760</v>
      </c>
      <c r="C104" s="1" t="s">
        <v>27</v>
      </c>
      <c r="D104" s="1" t="s">
        <v>28</v>
      </c>
      <c r="E104" s="2">
        <v>3</v>
      </c>
      <c r="F104" s="1" t="s">
        <v>29</v>
      </c>
      <c r="G104" s="1" t="str">
        <f>INDEX(Table2[Nama Produk],MATCH(Table1[[#This Row],[SKU]],Table2[SKU],0))</f>
        <v>Kursi Kerja Ergonomis</v>
      </c>
      <c r="H104" s="1" t="str">
        <f>VLOOKUP(Table1[[#This Row],[SKU]],Table2[],3,FALSE)</f>
        <v>Furnitur</v>
      </c>
      <c r="I104" s="37">
        <f>INDEX(Table2[Harga Jual],MATCH(Table1[[#This Row],[SKU]],Table2[SKU],0))</f>
        <v>2100000</v>
      </c>
      <c r="J104" s="37">
        <f>VLOOKUP(Table1[[#This Row],[SKU]],Table2[],4,FALSE)</f>
        <v>1200000</v>
      </c>
      <c r="K104" s="37">
        <f>INDEX(Table3[Biaya Kirim per Unit],MATCH(Table1[[#This Row],[Kota]],Table3[Kota],))</f>
        <v>50000</v>
      </c>
      <c r="L104" s="39">
        <f>VLOOKUP(Table1[[#This Row],[Kode_Promo]],Table4[],2,FALSE)</f>
        <v>0</v>
      </c>
      <c r="M104" s="37">
        <f>Table1[[#This Row],[Jumlah_Unit]]*Table1[[#This Row],[Harga_Satuan]]</f>
        <v>6300000</v>
      </c>
      <c r="N104" s="37">
        <f>Table1[[#This Row],[Total_Pendapatan_Kotor]]*Table1[[#This Row],[Persentase_Diskon]]</f>
        <v>0</v>
      </c>
      <c r="O104" s="37">
        <f>Table1[[#This Row],[Total_Pendapatan_Kotor]]-Table1[[#This Row],[Potongan_Diskon]]</f>
        <v>6300000</v>
      </c>
      <c r="P104" s="37">
        <f>(Table1[[#This Row],[Jumlah_Unit]]*Table1[[#This Row],[HPP_Satuan]])+(Table1[[#This Row],[Jumlah_Unit]]*Table1[[#This Row],[Biaya_Kirim_Satuan]])</f>
        <v>3750000</v>
      </c>
      <c r="Q104" s="37">
        <f>Table1[[#This Row],[Total_Pendapatan_Bersih]]-Table1[[#This Row],[Total_Biaya]]</f>
        <v>2550000</v>
      </c>
      <c r="R104" s="5">
        <f>Table1[[#This Row],[Laba_Kotor]]/Table1[[#This Row],[Total_Pendapatan_Bersih]]</f>
        <v>0.40476190476190477</v>
      </c>
    </row>
    <row r="105" spans="1:18" ht="20.25" thickBot="1" x14ac:dyDescent="0.6">
      <c r="A105" s="3" t="s">
        <v>134</v>
      </c>
      <c r="B105" s="21">
        <v>45761</v>
      </c>
      <c r="C105" s="1" t="s">
        <v>31</v>
      </c>
      <c r="D105" s="1" t="s">
        <v>32</v>
      </c>
      <c r="E105" s="2">
        <v>2</v>
      </c>
      <c r="F105" s="1" t="s">
        <v>33</v>
      </c>
      <c r="G105" s="1" t="str">
        <f>INDEX(Table2[Nama Produk],MATCH(Table1[[#This Row],[SKU]],Table2[SKU],0))</f>
        <v>Monitor Ergonomis 27</v>
      </c>
      <c r="H105" s="1" t="str">
        <f>VLOOKUP(Table1[[#This Row],[SKU]],Table2[],3,FALSE)</f>
        <v>Elektronik</v>
      </c>
      <c r="I105" s="37">
        <f>INDEX(Table2[Harga Jual],MATCH(Table1[[#This Row],[SKU]],Table2[SKU],0))</f>
        <v>3400000</v>
      </c>
      <c r="J105" s="37">
        <f>VLOOKUP(Table1[[#This Row],[SKU]],Table2[],4,FALSE)</f>
        <v>2100000</v>
      </c>
      <c r="K105" s="37">
        <f>INDEX(Table3[Biaya Kirim per Unit],MATCH(Table1[[#This Row],[Kota]],Table3[Kota],))</f>
        <v>65000</v>
      </c>
      <c r="L105" s="39">
        <f>VLOOKUP(Table1[[#This Row],[Kode_Promo]],Table4[],2,FALSE)</f>
        <v>0.2</v>
      </c>
      <c r="M105" s="37">
        <f>Table1[[#This Row],[Jumlah_Unit]]*Table1[[#This Row],[Harga_Satuan]]</f>
        <v>6800000</v>
      </c>
      <c r="N105" s="37">
        <f>Table1[[#This Row],[Total_Pendapatan_Kotor]]*Table1[[#This Row],[Persentase_Diskon]]</f>
        <v>1360000</v>
      </c>
      <c r="O105" s="37">
        <f>Table1[[#This Row],[Total_Pendapatan_Kotor]]-Table1[[#This Row],[Potongan_Diskon]]</f>
        <v>5440000</v>
      </c>
      <c r="P105" s="37">
        <f>(Table1[[#This Row],[Jumlah_Unit]]*Table1[[#This Row],[HPP_Satuan]])+(Table1[[#This Row],[Jumlah_Unit]]*Table1[[#This Row],[Biaya_Kirim_Satuan]])</f>
        <v>4330000</v>
      </c>
      <c r="Q105" s="37">
        <f>Table1[[#This Row],[Total_Pendapatan_Bersih]]-Table1[[#This Row],[Total_Biaya]]</f>
        <v>1110000</v>
      </c>
      <c r="R105" s="5">
        <f>Table1[[#This Row],[Laba_Kotor]]/Table1[[#This Row],[Total_Pendapatan_Bersih]]</f>
        <v>0.20404411764705882</v>
      </c>
    </row>
    <row r="106" spans="1:18" ht="20.25" thickBot="1" x14ac:dyDescent="0.6">
      <c r="A106" s="3" t="s">
        <v>135</v>
      </c>
      <c r="B106" s="21">
        <v>45762</v>
      </c>
      <c r="C106" s="1" t="s">
        <v>19</v>
      </c>
      <c r="D106" s="1" t="s">
        <v>35</v>
      </c>
      <c r="E106" s="2">
        <v>4</v>
      </c>
      <c r="F106" s="1" t="s">
        <v>21</v>
      </c>
      <c r="G106" s="1" t="str">
        <f>INDEX(Table2[Nama Produk],MATCH(Table1[[#This Row],[SKU]],Table2[SKU],0))</f>
        <v>Meja Adjustable</v>
      </c>
      <c r="H106" s="1" t="str">
        <f>VLOOKUP(Table1[[#This Row],[SKU]],Table2[],3,FALSE)</f>
        <v>Furnitur</v>
      </c>
      <c r="I106" s="37">
        <f>INDEX(Table2[Harga Jual],MATCH(Table1[[#This Row],[SKU]],Table2[SKU],0))</f>
        <v>4200000</v>
      </c>
      <c r="J106" s="37">
        <f>VLOOKUP(Table1[[#This Row],[SKU]],Table2[],4,FALSE)</f>
        <v>2400000</v>
      </c>
      <c r="K106" s="37">
        <f>INDEX(Table3[Biaya Kirim per Unit],MATCH(Table1[[#This Row],[Kota]],Table3[Kota],))</f>
        <v>25000</v>
      </c>
      <c r="L106" s="39">
        <f>VLOOKUP(Table1[[#This Row],[Kode_Promo]],Table4[],2,FALSE)</f>
        <v>0.1</v>
      </c>
      <c r="M106" s="37">
        <f>Table1[[#This Row],[Jumlah_Unit]]*Table1[[#This Row],[Harga_Satuan]]</f>
        <v>16800000</v>
      </c>
      <c r="N106" s="37">
        <f>Table1[[#This Row],[Total_Pendapatan_Kotor]]*Table1[[#This Row],[Persentase_Diskon]]</f>
        <v>1680000</v>
      </c>
      <c r="O106" s="37">
        <f>Table1[[#This Row],[Total_Pendapatan_Kotor]]-Table1[[#This Row],[Potongan_Diskon]]</f>
        <v>15120000</v>
      </c>
      <c r="P106" s="37">
        <f>(Table1[[#This Row],[Jumlah_Unit]]*Table1[[#This Row],[HPP_Satuan]])+(Table1[[#This Row],[Jumlah_Unit]]*Table1[[#This Row],[Biaya_Kirim_Satuan]])</f>
        <v>9700000</v>
      </c>
      <c r="Q106" s="37">
        <f>Table1[[#This Row],[Total_Pendapatan_Bersih]]-Table1[[#This Row],[Total_Biaya]]</f>
        <v>5420000</v>
      </c>
      <c r="R106" s="5">
        <f>Table1[[#This Row],[Laba_Kotor]]/Table1[[#This Row],[Total_Pendapatan_Bersih]]</f>
        <v>0.35846560846560849</v>
      </c>
    </row>
    <row r="107" spans="1:18" ht="20.25" thickBot="1" x14ac:dyDescent="0.6">
      <c r="A107" s="3" t="s">
        <v>136</v>
      </c>
      <c r="B107" s="21">
        <v>45763</v>
      </c>
      <c r="C107" s="1" t="s">
        <v>23</v>
      </c>
      <c r="D107" s="1" t="s">
        <v>20</v>
      </c>
      <c r="E107" s="2">
        <v>2</v>
      </c>
      <c r="F107" s="1" t="s">
        <v>29</v>
      </c>
      <c r="G107" s="1" t="str">
        <f>INDEX(Table2[Nama Produk],MATCH(Table1[[#This Row],[SKU]],Table2[SKU],0))</f>
        <v>Laptop Pro 14</v>
      </c>
      <c r="H107" s="1" t="str">
        <f>VLOOKUP(Table1[[#This Row],[SKU]],Table2[],3,FALSE)</f>
        <v>Elektronik</v>
      </c>
      <c r="I107" s="37">
        <f>INDEX(Table2[Harga Jual],MATCH(Table1[[#This Row],[SKU]],Table2[SKU],0))</f>
        <v>12000000</v>
      </c>
      <c r="J107" s="37">
        <f>VLOOKUP(Table1[[#This Row],[SKU]],Table2[],4,FALSE)</f>
        <v>8500000</v>
      </c>
      <c r="K107" s="37">
        <f>INDEX(Table3[Biaya Kirim per Unit],MATCH(Table1[[#This Row],[Kota]],Table3[Kota],))</f>
        <v>35000</v>
      </c>
      <c r="L107" s="39">
        <f>VLOOKUP(Table1[[#This Row],[Kode_Promo]],Table4[],2,FALSE)</f>
        <v>0</v>
      </c>
      <c r="M107" s="37">
        <f>Table1[[#This Row],[Jumlah_Unit]]*Table1[[#This Row],[Harga_Satuan]]</f>
        <v>24000000</v>
      </c>
      <c r="N107" s="37">
        <f>Table1[[#This Row],[Total_Pendapatan_Kotor]]*Table1[[#This Row],[Persentase_Diskon]]</f>
        <v>0</v>
      </c>
      <c r="O107" s="37">
        <f>Table1[[#This Row],[Total_Pendapatan_Kotor]]-Table1[[#This Row],[Potongan_Diskon]]</f>
        <v>24000000</v>
      </c>
      <c r="P107" s="37">
        <f>(Table1[[#This Row],[Jumlah_Unit]]*Table1[[#This Row],[HPP_Satuan]])+(Table1[[#This Row],[Jumlah_Unit]]*Table1[[#This Row],[Biaya_Kirim_Satuan]])</f>
        <v>17070000</v>
      </c>
      <c r="Q107" s="37">
        <f>Table1[[#This Row],[Total_Pendapatan_Bersih]]-Table1[[#This Row],[Total_Biaya]]</f>
        <v>6930000</v>
      </c>
      <c r="R107" s="5">
        <f>Table1[[#This Row],[Laba_Kotor]]/Table1[[#This Row],[Total_Pendapatan_Bersih]]</f>
        <v>0.28875000000000001</v>
      </c>
    </row>
    <row r="108" spans="1:18" ht="20.25" thickBot="1" x14ac:dyDescent="0.6">
      <c r="A108" s="3" t="s">
        <v>137</v>
      </c>
      <c r="B108" s="21">
        <v>45764</v>
      </c>
      <c r="C108" s="1" t="s">
        <v>27</v>
      </c>
      <c r="D108" s="1" t="s">
        <v>24</v>
      </c>
      <c r="E108" s="2">
        <v>6</v>
      </c>
      <c r="F108" s="1" t="s">
        <v>25</v>
      </c>
      <c r="G108" s="1" t="str">
        <f>INDEX(Table2[Nama Produk],MATCH(Table1[[#This Row],[SKU]],Table2[SKU],0))</f>
        <v>Mechanical Keyboard</v>
      </c>
      <c r="H108" s="1" t="str">
        <f>VLOOKUP(Table1[[#This Row],[SKU]],Table2[],3,FALSE)</f>
        <v>Aksesori</v>
      </c>
      <c r="I108" s="37">
        <f>INDEX(Table2[Harga Jual],MATCH(Table1[[#This Row],[SKU]],Table2[SKU],0))</f>
        <v>850000</v>
      </c>
      <c r="J108" s="37">
        <f>VLOOKUP(Table1[[#This Row],[SKU]],Table2[],4,FALSE)</f>
        <v>450000</v>
      </c>
      <c r="K108" s="37">
        <f>INDEX(Table3[Biaya Kirim per Unit],MATCH(Table1[[#This Row],[Kota]],Table3[Kota],))</f>
        <v>50000</v>
      </c>
      <c r="L108" s="39">
        <f>VLOOKUP(Table1[[#This Row],[Kode_Promo]],Table4[],2,FALSE)</f>
        <v>0.3</v>
      </c>
      <c r="M108" s="37">
        <f>Table1[[#This Row],[Jumlah_Unit]]*Table1[[#This Row],[Harga_Satuan]]</f>
        <v>5100000</v>
      </c>
      <c r="N108" s="37">
        <f>Table1[[#This Row],[Total_Pendapatan_Kotor]]*Table1[[#This Row],[Persentase_Diskon]]</f>
        <v>1530000</v>
      </c>
      <c r="O108" s="37">
        <f>Table1[[#This Row],[Total_Pendapatan_Kotor]]-Table1[[#This Row],[Potongan_Diskon]]</f>
        <v>3570000</v>
      </c>
      <c r="P108" s="37">
        <f>(Table1[[#This Row],[Jumlah_Unit]]*Table1[[#This Row],[HPP_Satuan]])+(Table1[[#This Row],[Jumlah_Unit]]*Table1[[#This Row],[Biaya_Kirim_Satuan]])</f>
        <v>3000000</v>
      </c>
      <c r="Q108" s="37">
        <f>Table1[[#This Row],[Total_Pendapatan_Bersih]]-Table1[[#This Row],[Total_Biaya]]</f>
        <v>570000</v>
      </c>
      <c r="R108" s="5">
        <f>Table1[[#This Row],[Laba_Kotor]]/Table1[[#This Row],[Total_Pendapatan_Bersih]]</f>
        <v>0.15966386554621848</v>
      </c>
    </row>
    <row r="109" spans="1:18" ht="20.25" thickBot="1" x14ac:dyDescent="0.6">
      <c r="A109" s="3" t="s">
        <v>138</v>
      </c>
      <c r="B109" s="21">
        <v>45765</v>
      </c>
      <c r="C109" s="1" t="s">
        <v>31</v>
      </c>
      <c r="D109" s="1" t="s">
        <v>35</v>
      </c>
      <c r="E109" s="2">
        <v>1</v>
      </c>
      <c r="F109" s="1" t="s">
        <v>33</v>
      </c>
      <c r="G109" s="1" t="str">
        <f>INDEX(Table2[Nama Produk],MATCH(Table1[[#This Row],[SKU]],Table2[SKU],0))</f>
        <v>Meja Adjustable</v>
      </c>
      <c r="H109" s="1" t="str">
        <f>VLOOKUP(Table1[[#This Row],[SKU]],Table2[],3,FALSE)</f>
        <v>Furnitur</v>
      </c>
      <c r="I109" s="37">
        <f>INDEX(Table2[Harga Jual],MATCH(Table1[[#This Row],[SKU]],Table2[SKU],0))</f>
        <v>4200000</v>
      </c>
      <c r="J109" s="37">
        <f>VLOOKUP(Table1[[#This Row],[SKU]],Table2[],4,FALSE)</f>
        <v>2400000</v>
      </c>
      <c r="K109" s="37">
        <f>INDEX(Table3[Biaya Kirim per Unit],MATCH(Table1[[#This Row],[Kota]],Table3[Kota],))</f>
        <v>65000</v>
      </c>
      <c r="L109" s="39">
        <f>VLOOKUP(Table1[[#This Row],[Kode_Promo]],Table4[],2,FALSE)</f>
        <v>0.2</v>
      </c>
      <c r="M109" s="37">
        <f>Table1[[#This Row],[Jumlah_Unit]]*Table1[[#This Row],[Harga_Satuan]]</f>
        <v>4200000</v>
      </c>
      <c r="N109" s="37">
        <f>Table1[[#This Row],[Total_Pendapatan_Kotor]]*Table1[[#This Row],[Persentase_Diskon]]</f>
        <v>840000</v>
      </c>
      <c r="O109" s="37">
        <f>Table1[[#This Row],[Total_Pendapatan_Kotor]]-Table1[[#This Row],[Potongan_Diskon]]</f>
        <v>3360000</v>
      </c>
      <c r="P109" s="37">
        <f>(Table1[[#This Row],[Jumlah_Unit]]*Table1[[#This Row],[HPP_Satuan]])+(Table1[[#This Row],[Jumlah_Unit]]*Table1[[#This Row],[Biaya_Kirim_Satuan]])</f>
        <v>2465000</v>
      </c>
      <c r="Q109" s="37">
        <f>Table1[[#This Row],[Total_Pendapatan_Bersih]]-Table1[[#This Row],[Total_Biaya]]</f>
        <v>895000</v>
      </c>
      <c r="R109" s="5">
        <f>Table1[[#This Row],[Laba_Kotor]]/Table1[[#This Row],[Total_Pendapatan_Bersih]]</f>
        <v>0.26636904761904762</v>
      </c>
    </row>
    <row r="110" spans="1:18" ht="20.25" thickBot="1" x14ac:dyDescent="0.6">
      <c r="A110" s="3" t="s">
        <v>139</v>
      </c>
      <c r="B110" s="21">
        <v>45766</v>
      </c>
      <c r="C110" s="1" t="s">
        <v>19</v>
      </c>
      <c r="D110" s="1" t="s">
        <v>32</v>
      </c>
      <c r="E110" s="2">
        <v>3</v>
      </c>
      <c r="F110" s="1" t="s">
        <v>21</v>
      </c>
      <c r="G110" s="1" t="str">
        <f>INDEX(Table2[Nama Produk],MATCH(Table1[[#This Row],[SKU]],Table2[SKU],0))</f>
        <v>Monitor Ergonomis 27</v>
      </c>
      <c r="H110" s="1" t="str">
        <f>VLOOKUP(Table1[[#This Row],[SKU]],Table2[],3,FALSE)</f>
        <v>Elektronik</v>
      </c>
      <c r="I110" s="37">
        <f>INDEX(Table2[Harga Jual],MATCH(Table1[[#This Row],[SKU]],Table2[SKU],0))</f>
        <v>3400000</v>
      </c>
      <c r="J110" s="37">
        <f>VLOOKUP(Table1[[#This Row],[SKU]],Table2[],4,FALSE)</f>
        <v>2100000</v>
      </c>
      <c r="K110" s="37">
        <f>INDEX(Table3[Biaya Kirim per Unit],MATCH(Table1[[#This Row],[Kota]],Table3[Kota],))</f>
        <v>25000</v>
      </c>
      <c r="L110" s="39">
        <f>VLOOKUP(Table1[[#This Row],[Kode_Promo]],Table4[],2,FALSE)</f>
        <v>0.1</v>
      </c>
      <c r="M110" s="37">
        <f>Table1[[#This Row],[Jumlah_Unit]]*Table1[[#This Row],[Harga_Satuan]]</f>
        <v>10200000</v>
      </c>
      <c r="N110" s="37">
        <f>Table1[[#This Row],[Total_Pendapatan_Kotor]]*Table1[[#This Row],[Persentase_Diskon]]</f>
        <v>1020000</v>
      </c>
      <c r="O110" s="37">
        <f>Table1[[#This Row],[Total_Pendapatan_Kotor]]-Table1[[#This Row],[Potongan_Diskon]]</f>
        <v>9180000</v>
      </c>
      <c r="P110" s="37">
        <f>(Table1[[#This Row],[Jumlah_Unit]]*Table1[[#This Row],[HPP_Satuan]])+(Table1[[#This Row],[Jumlah_Unit]]*Table1[[#This Row],[Biaya_Kirim_Satuan]])</f>
        <v>6375000</v>
      </c>
      <c r="Q110" s="37">
        <f>Table1[[#This Row],[Total_Pendapatan_Bersih]]-Table1[[#This Row],[Total_Biaya]]</f>
        <v>2805000</v>
      </c>
      <c r="R110" s="5">
        <f>Table1[[#This Row],[Laba_Kotor]]/Table1[[#This Row],[Total_Pendapatan_Bersih]]</f>
        <v>0.30555555555555558</v>
      </c>
    </row>
    <row r="111" spans="1:18" ht="20.25" thickBot="1" x14ac:dyDescent="0.6">
      <c r="A111" s="3" t="s">
        <v>140</v>
      </c>
      <c r="B111" s="21">
        <v>45767</v>
      </c>
      <c r="C111" s="1" t="s">
        <v>23</v>
      </c>
      <c r="D111" s="1" t="s">
        <v>28</v>
      </c>
      <c r="E111" s="2">
        <v>2</v>
      </c>
      <c r="F111" s="1" t="s">
        <v>25</v>
      </c>
      <c r="G111" s="1" t="str">
        <f>INDEX(Table2[Nama Produk],MATCH(Table1[[#This Row],[SKU]],Table2[SKU],0))</f>
        <v>Kursi Kerja Ergonomis</v>
      </c>
      <c r="H111" s="1" t="str">
        <f>VLOOKUP(Table1[[#This Row],[SKU]],Table2[],3,FALSE)</f>
        <v>Furnitur</v>
      </c>
      <c r="I111" s="37">
        <f>INDEX(Table2[Harga Jual],MATCH(Table1[[#This Row],[SKU]],Table2[SKU],0))</f>
        <v>2100000</v>
      </c>
      <c r="J111" s="37">
        <f>VLOOKUP(Table1[[#This Row],[SKU]],Table2[],4,FALSE)</f>
        <v>1200000</v>
      </c>
      <c r="K111" s="37">
        <f>INDEX(Table3[Biaya Kirim per Unit],MATCH(Table1[[#This Row],[Kota]],Table3[Kota],))</f>
        <v>35000</v>
      </c>
      <c r="L111" s="39">
        <f>VLOOKUP(Table1[[#This Row],[Kode_Promo]],Table4[],2,FALSE)</f>
        <v>0.3</v>
      </c>
      <c r="M111" s="37">
        <f>Table1[[#This Row],[Jumlah_Unit]]*Table1[[#This Row],[Harga_Satuan]]</f>
        <v>4200000</v>
      </c>
      <c r="N111" s="37">
        <f>Table1[[#This Row],[Total_Pendapatan_Kotor]]*Table1[[#This Row],[Persentase_Diskon]]</f>
        <v>1260000</v>
      </c>
      <c r="O111" s="37">
        <f>Table1[[#This Row],[Total_Pendapatan_Kotor]]-Table1[[#This Row],[Potongan_Diskon]]</f>
        <v>2940000</v>
      </c>
      <c r="P111" s="37">
        <f>(Table1[[#This Row],[Jumlah_Unit]]*Table1[[#This Row],[HPP_Satuan]])+(Table1[[#This Row],[Jumlah_Unit]]*Table1[[#This Row],[Biaya_Kirim_Satuan]])</f>
        <v>2470000</v>
      </c>
      <c r="Q111" s="37">
        <f>Table1[[#This Row],[Total_Pendapatan_Bersih]]-Table1[[#This Row],[Total_Biaya]]</f>
        <v>470000</v>
      </c>
      <c r="R111" s="5">
        <f>Table1[[#This Row],[Laba_Kotor]]/Table1[[#This Row],[Total_Pendapatan_Bersih]]</f>
        <v>0.1598639455782313</v>
      </c>
    </row>
    <row r="112" spans="1:18" ht="20.25" thickBot="1" x14ac:dyDescent="0.6">
      <c r="A112" s="3" t="s">
        <v>141</v>
      </c>
      <c r="B112" s="21">
        <v>45768</v>
      </c>
      <c r="C112" s="1" t="s">
        <v>27</v>
      </c>
      <c r="D112" s="1" t="s">
        <v>20</v>
      </c>
      <c r="E112" s="2">
        <v>4</v>
      </c>
      <c r="F112" s="1" t="s">
        <v>29</v>
      </c>
      <c r="G112" s="1" t="str">
        <f>INDEX(Table2[Nama Produk],MATCH(Table1[[#This Row],[SKU]],Table2[SKU],0))</f>
        <v>Laptop Pro 14</v>
      </c>
      <c r="H112" s="1" t="str">
        <f>VLOOKUP(Table1[[#This Row],[SKU]],Table2[],3,FALSE)</f>
        <v>Elektronik</v>
      </c>
      <c r="I112" s="37">
        <f>INDEX(Table2[Harga Jual],MATCH(Table1[[#This Row],[SKU]],Table2[SKU],0))</f>
        <v>12000000</v>
      </c>
      <c r="J112" s="37">
        <f>VLOOKUP(Table1[[#This Row],[SKU]],Table2[],4,FALSE)</f>
        <v>8500000</v>
      </c>
      <c r="K112" s="37">
        <f>INDEX(Table3[Biaya Kirim per Unit],MATCH(Table1[[#This Row],[Kota]],Table3[Kota],))</f>
        <v>50000</v>
      </c>
      <c r="L112" s="39">
        <f>VLOOKUP(Table1[[#This Row],[Kode_Promo]],Table4[],2,FALSE)</f>
        <v>0</v>
      </c>
      <c r="M112" s="37">
        <f>Table1[[#This Row],[Jumlah_Unit]]*Table1[[#This Row],[Harga_Satuan]]</f>
        <v>48000000</v>
      </c>
      <c r="N112" s="37">
        <f>Table1[[#This Row],[Total_Pendapatan_Kotor]]*Table1[[#This Row],[Persentase_Diskon]]</f>
        <v>0</v>
      </c>
      <c r="O112" s="37">
        <f>Table1[[#This Row],[Total_Pendapatan_Kotor]]-Table1[[#This Row],[Potongan_Diskon]]</f>
        <v>48000000</v>
      </c>
      <c r="P112" s="37">
        <f>(Table1[[#This Row],[Jumlah_Unit]]*Table1[[#This Row],[HPP_Satuan]])+(Table1[[#This Row],[Jumlah_Unit]]*Table1[[#This Row],[Biaya_Kirim_Satuan]])</f>
        <v>34200000</v>
      </c>
      <c r="Q112" s="37">
        <f>Table1[[#This Row],[Total_Pendapatan_Bersih]]-Table1[[#This Row],[Total_Biaya]]</f>
        <v>13800000</v>
      </c>
      <c r="R112" s="5">
        <f>Table1[[#This Row],[Laba_Kotor]]/Table1[[#This Row],[Total_Pendapatan_Bersih]]</f>
        <v>0.28749999999999998</v>
      </c>
    </row>
    <row r="113" spans="1:18" ht="20.25" thickBot="1" x14ac:dyDescent="0.6">
      <c r="A113" s="3" t="s">
        <v>142</v>
      </c>
      <c r="B113" s="21">
        <v>45769</v>
      </c>
      <c r="C113" s="1" t="s">
        <v>31</v>
      </c>
      <c r="D113" s="1" t="s">
        <v>24</v>
      </c>
      <c r="E113" s="2">
        <v>8</v>
      </c>
      <c r="F113" s="1" t="s">
        <v>33</v>
      </c>
      <c r="G113" s="1" t="str">
        <f>INDEX(Table2[Nama Produk],MATCH(Table1[[#This Row],[SKU]],Table2[SKU],0))</f>
        <v>Mechanical Keyboard</v>
      </c>
      <c r="H113" s="1" t="str">
        <f>VLOOKUP(Table1[[#This Row],[SKU]],Table2[],3,FALSE)</f>
        <v>Aksesori</v>
      </c>
      <c r="I113" s="37">
        <f>INDEX(Table2[Harga Jual],MATCH(Table1[[#This Row],[SKU]],Table2[SKU],0))</f>
        <v>850000</v>
      </c>
      <c r="J113" s="37">
        <f>VLOOKUP(Table1[[#This Row],[SKU]],Table2[],4,FALSE)</f>
        <v>450000</v>
      </c>
      <c r="K113" s="37">
        <f>INDEX(Table3[Biaya Kirim per Unit],MATCH(Table1[[#This Row],[Kota]],Table3[Kota],))</f>
        <v>65000</v>
      </c>
      <c r="L113" s="39">
        <f>VLOOKUP(Table1[[#This Row],[Kode_Promo]],Table4[],2,FALSE)</f>
        <v>0.2</v>
      </c>
      <c r="M113" s="37">
        <f>Table1[[#This Row],[Jumlah_Unit]]*Table1[[#This Row],[Harga_Satuan]]</f>
        <v>6800000</v>
      </c>
      <c r="N113" s="37">
        <f>Table1[[#This Row],[Total_Pendapatan_Kotor]]*Table1[[#This Row],[Persentase_Diskon]]</f>
        <v>1360000</v>
      </c>
      <c r="O113" s="37">
        <f>Table1[[#This Row],[Total_Pendapatan_Kotor]]-Table1[[#This Row],[Potongan_Diskon]]</f>
        <v>5440000</v>
      </c>
      <c r="P113" s="37">
        <f>(Table1[[#This Row],[Jumlah_Unit]]*Table1[[#This Row],[HPP_Satuan]])+(Table1[[#This Row],[Jumlah_Unit]]*Table1[[#This Row],[Biaya_Kirim_Satuan]])</f>
        <v>4120000</v>
      </c>
      <c r="Q113" s="37">
        <f>Table1[[#This Row],[Total_Pendapatan_Bersih]]-Table1[[#This Row],[Total_Biaya]]</f>
        <v>1320000</v>
      </c>
      <c r="R113" s="5">
        <f>Table1[[#This Row],[Laba_Kotor]]/Table1[[#This Row],[Total_Pendapatan_Bersih]]</f>
        <v>0.24264705882352941</v>
      </c>
    </row>
    <row r="114" spans="1:18" ht="20.25" thickBot="1" x14ac:dyDescent="0.6">
      <c r="A114" s="3" t="s">
        <v>143</v>
      </c>
      <c r="B114" s="21">
        <v>45770</v>
      </c>
      <c r="C114" s="1" t="s">
        <v>19</v>
      </c>
      <c r="D114" s="1" t="s">
        <v>28</v>
      </c>
      <c r="E114" s="2">
        <v>2</v>
      </c>
      <c r="F114" s="1" t="s">
        <v>21</v>
      </c>
      <c r="G114" s="1" t="str">
        <f>INDEX(Table2[Nama Produk],MATCH(Table1[[#This Row],[SKU]],Table2[SKU],0))</f>
        <v>Kursi Kerja Ergonomis</v>
      </c>
      <c r="H114" s="1" t="str">
        <f>VLOOKUP(Table1[[#This Row],[SKU]],Table2[],3,FALSE)</f>
        <v>Furnitur</v>
      </c>
      <c r="I114" s="37">
        <f>INDEX(Table2[Harga Jual],MATCH(Table1[[#This Row],[SKU]],Table2[SKU],0))</f>
        <v>2100000</v>
      </c>
      <c r="J114" s="37">
        <f>VLOOKUP(Table1[[#This Row],[SKU]],Table2[],4,FALSE)</f>
        <v>1200000</v>
      </c>
      <c r="K114" s="37">
        <f>INDEX(Table3[Biaya Kirim per Unit],MATCH(Table1[[#This Row],[Kota]],Table3[Kota],))</f>
        <v>25000</v>
      </c>
      <c r="L114" s="39">
        <f>VLOOKUP(Table1[[#This Row],[Kode_Promo]],Table4[],2,FALSE)</f>
        <v>0.1</v>
      </c>
      <c r="M114" s="37">
        <f>Table1[[#This Row],[Jumlah_Unit]]*Table1[[#This Row],[Harga_Satuan]]</f>
        <v>4200000</v>
      </c>
      <c r="N114" s="37">
        <f>Table1[[#This Row],[Total_Pendapatan_Kotor]]*Table1[[#This Row],[Persentase_Diskon]]</f>
        <v>420000</v>
      </c>
      <c r="O114" s="37">
        <f>Table1[[#This Row],[Total_Pendapatan_Kotor]]-Table1[[#This Row],[Potongan_Diskon]]</f>
        <v>3780000</v>
      </c>
      <c r="P114" s="37">
        <f>(Table1[[#This Row],[Jumlah_Unit]]*Table1[[#This Row],[HPP_Satuan]])+(Table1[[#This Row],[Jumlah_Unit]]*Table1[[#This Row],[Biaya_Kirim_Satuan]])</f>
        <v>2450000</v>
      </c>
      <c r="Q114" s="37">
        <f>Table1[[#This Row],[Total_Pendapatan_Bersih]]-Table1[[#This Row],[Total_Biaya]]</f>
        <v>1330000</v>
      </c>
      <c r="R114" s="5">
        <f>Table1[[#This Row],[Laba_Kotor]]/Table1[[#This Row],[Total_Pendapatan_Bersih]]</f>
        <v>0.35185185185185186</v>
      </c>
    </row>
    <row r="115" spans="1:18" ht="20.25" thickBot="1" x14ac:dyDescent="0.6">
      <c r="A115" s="3" t="s">
        <v>144</v>
      </c>
      <c r="B115" s="21">
        <v>45771</v>
      </c>
      <c r="C115" s="1" t="s">
        <v>23</v>
      </c>
      <c r="D115" s="1" t="s">
        <v>32</v>
      </c>
      <c r="E115" s="2">
        <v>5</v>
      </c>
      <c r="F115" s="1" t="s">
        <v>25</v>
      </c>
      <c r="G115" s="1" t="str">
        <f>INDEX(Table2[Nama Produk],MATCH(Table1[[#This Row],[SKU]],Table2[SKU],0))</f>
        <v>Monitor Ergonomis 27</v>
      </c>
      <c r="H115" s="1" t="str">
        <f>VLOOKUP(Table1[[#This Row],[SKU]],Table2[],3,FALSE)</f>
        <v>Elektronik</v>
      </c>
      <c r="I115" s="37">
        <f>INDEX(Table2[Harga Jual],MATCH(Table1[[#This Row],[SKU]],Table2[SKU],0))</f>
        <v>3400000</v>
      </c>
      <c r="J115" s="37">
        <f>VLOOKUP(Table1[[#This Row],[SKU]],Table2[],4,FALSE)</f>
        <v>2100000</v>
      </c>
      <c r="K115" s="37">
        <f>INDEX(Table3[Biaya Kirim per Unit],MATCH(Table1[[#This Row],[Kota]],Table3[Kota],))</f>
        <v>35000</v>
      </c>
      <c r="L115" s="39">
        <f>VLOOKUP(Table1[[#This Row],[Kode_Promo]],Table4[],2,FALSE)</f>
        <v>0.3</v>
      </c>
      <c r="M115" s="37">
        <f>Table1[[#This Row],[Jumlah_Unit]]*Table1[[#This Row],[Harga_Satuan]]</f>
        <v>17000000</v>
      </c>
      <c r="N115" s="37">
        <f>Table1[[#This Row],[Total_Pendapatan_Kotor]]*Table1[[#This Row],[Persentase_Diskon]]</f>
        <v>5100000</v>
      </c>
      <c r="O115" s="37">
        <f>Table1[[#This Row],[Total_Pendapatan_Kotor]]-Table1[[#This Row],[Potongan_Diskon]]</f>
        <v>11900000</v>
      </c>
      <c r="P115" s="37">
        <f>(Table1[[#This Row],[Jumlah_Unit]]*Table1[[#This Row],[HPP_Satuan]])+(Table1[[#This Row],[Jumlah_Unit]]*Table1[[#This Row],[Biaya_Kirim_Satuan]])</f>
        <v>10675000</v>
      </c>
      <c r="Q115" s="37">
        <f>Table1[[#This Row],[Total_Pendapatan_Bersih]]-Table1[[#This Row],[Total_Biaya]]</f>
        <v>1225000</v>
      </c>
      <c r="R115" s="5">
        <f>Table1[[#This Row],[Laba_Kotor]]/Table1[[#This Row],[Total_Pendapatan_Bersih]]</f>
        <v>0.10294117647058823</v>
      </c>
    </row>
    <row r="116" spans="1:18" ht="20.25" thickBot="1" x14ac:dyDescent="0.6">
      <c r="A116" s="3" t="s">
        <v>145</v>
      </c>
      <c r="B116" s="21">
        <v>45772</v>
      </c>
      <c r="C116" s="1" t="s">
        <v>27</v>
      </c>
      <c r="D116" s="1" t="s">
        <v>35</v>
      </c>
      <c r="E116" s="2">
        <v>1</v>
      </c>
      <c r="F116" s="1" t="s">
        <v>29</v>
      </c>
      <c r="G116" s="1" t="str">
        <f>INDEX(Table2[Nama Produk],MATCH(Table1[[#This Row],[SKU]],Table2[SKU],0))</f>
        <v>Meja Adjustable</v>
      </c>
      <c r="H116" s="1" t="str">
        <f>VLOOKUP(Table1[[#This Row],[SKU]],Table2[],3,FALSE)</f>
        <v>Furnitur</v>
      </c>
      <c r="I116" s="37">
        <f>INDEX(Table2[Harga Jual],MATCH(Table1[[#This Row],[SKU]],Table2[SKU],0))</f>
        <v>4200000</v>
      </c>
      <c r="J116" s="37">
        <f>VLOOKUP(Table1[[#This Row],[SKU]],Table2[],4,FALSE)</f>
        <v>2400000</v>
      </c>
      <c r="K116" s="37">
        <f>INDEX(Table3[Biaya Kirim per Unit],MATCH(Table1[[#This Row],[Kota]],Table3[Kota],))</f>
        <v>50000</v>
      </c>
      <c r="L116" s="39">
        <f>VLOOKUP(Table1[[#This Row],[Kode_Promo]],Table4[],2,FALSE)</f>
        <v>0</v>
      </c>
      <c r="M116" s="37">
        <f>Table1[[#This Row],[Jumlah_Unit]]*Table1[[#This Row],[Harga_Satuan]]</f>
        <v>4200000</v>
      </c>
      <c r="N116" s="37">
        <f>Table1[[#This Row],[Total_Pendapatan_Kotor]]*Table1[[#This Row],[Persentase_Diskon]]</f>
        <v>0</v>
      </c>
      <c r="O116" s="37">
        <f>Table1[[#This Row],[Total_Pendapatan_Kotor]]-Table1[[#This Row],[Potongan_Diskon]]</f>
        <v>4200000</v>
      </c>
      <c r="P116" s="37">
        <f>(Table1[[#This Row],[Jumlah_Unit]]*Table1[[#This Row],[HPP_Satuan]])+(Table1[[#This Row],[Jumlah_Unit]]*Table1[[#This Row],[Biaya_Kirim_Satuan]])</f>
        <v>2450000</v>
      </c>
      <c r="Q116" s="37">
        <f>Table1[[#This Row],[Total_Pendapatan_Bersih]]-Table1[[#This Row],[Total_Biaya]]</f>
        <v>1750000</v>
      </c>
      <c r="R116" s="5">
        <f>Table1[[#This Row],[Laba_Kotor]]/Table1[[#This Row],[Total_Pendapatan_Bersih]]</f>
        <v>0.41666666666666669</v>
      </c>
    </row>
    <row r="117" spans="1:18" ht="20.25" thickBot="1" x14ac:dyDescent="0.6">
      <c r="A117" s="3" t="s">
        <v>146</v>
      </c>
      <c r="B117" s="21">
        <v>45773</v>
      </c>
      <c r="C117" s="1" t="s">
        <v>31</v>
      </c>
      <c r="D117" s="1" t="s">
        <v>20</v>
      </c>
      <c r="E117" s="2">
        <v>3</v>
      </c>
      <c r="F117" s="1" t="s">
        <v>33</v>
      </c>
      <c r="G117" s="1" t="str">
        <f>INDEX(Table2[Nama Produk],MATCH(Table1[[#This Row],[SKU]],Table2[SKU],0))</f>
        <v>Laptop Pro 14</v>
      </c>
      <c r="H117" s="1" t="str">
        <f>VLOOKUP(Table1[[#This Row],[SKU]],Table2[],3,FALSE)</f>
        <v>Elektronik</v>
      </c>
      <c r="I117" s="37">
        <f>INDEX(Table2[Harga Jual],MATCH(Table1[[#This Row],[SKU]],Table2[SKU],0))</f>
        <v>12000000</v>
      </c>
      <c r="J117" s="37">
        <f>VLOOKUP(Table1[[#This Row],[SKU]],Table2[],4,FALSE)</f>
        <v>8500000</v>
      </c>
      <c r="K117" s="37">
        <f>INDEX(Table3[Biaya Kirim per Unit],MATCH(Table1[[#This Row],[Kota]],Table3[Kota],))</f>
        <v>65000</v>
      </c>
      <c r="L117" s="39">
        <f>VLOOKUP(Table1[[#This Row],[Kode_Promo]],Table4[],2,FALSE)</f>
        <v>0.2</v>
      </c>
      <c r="M117" s="37">
        <f>Table1[[#This Row],[Jumlah_Unit]]*Table1[[#This Row],[Harga_Satuan]]</f>
        <v>36000000</v>
      </c>
      <c r="N117" s="37">
        <f>Table1[[#This Row],[Total_Pendapatan_Kotor]]*Table1[[#This Row],[Persentase_Diskon]]</f>
        <v>7200000</v>
      </c>
      <c r="O117" s="37">
        <f>Table1[[#This Row],[Total_Pendapatan_Kotor]]-Table1[[#This Row],[Potongan_Diskon]]</f>
        <v>28800000</v>
      </c>
      <c r="P117" s="37">
        <f>(Table1[[#This Row],[Jumlah_Unit]]*Table1[[#This Row],[HPP_Satuan]])+(Table1[[#This Row],[Jumlah_Unit]]*Table1[[#This Row],[Biaya_Kirim_Satuan]])</f>
        <v>25695000</v>
      </c>
      <c r="Q117" s="37">
        <f>Table1[[#This Row],[Total_Pendapatan_Bersih]]-Table1[[#This Row],[Total_Biaya]]</f>
        <v>3105000</v>
      </c>
      <c r="R117" s="5">
        <f>Table1[[#This Row],[Laba_Kotor]]/Table1[[#This Row],[Total_Pendapatan_Bersih]]</f>
        <v>0.10781250000000001</v>
      </c>
    </row>
    <row r="118" spans="1:18" ht="20.25" thickBot="1" x14ac:dyDescent="0.6">
      <c r="A118" s="3" t="s">
        <v>147</v>
      </c>
      <c r="B118" s="21">
        <v>45774</v>
      </c>
      <c r="C118" s="1" t="s">
        <v>19</v>
      </c>
      <c r="D118" s="1" t="s">
        <v>24</v>
      </c>
      <c r="E118" s="2">
        <v>4</v>
      </c>
      <c r="F118" s="1" t="s">
        <v>21</v>
      </c>
      <c r="G118" s="1" t="str">
        <f>INDEX(Table2[Nama Produk],MATCH(Table1[[#This Row],[SKU]],Table2[SKU],0))</f>
        <v>Mechanical Keyboard</v>
      </c>
      <c r="H118" s="1" t="str">
        <f>VLOOKUP(Table1[[#This Row],[SKU]],Table2[],3,FALSE)</f>
        <v>Aksesori</v>
      </c>
      <c r="I118" s="37">
        <f>INDEX(Table2[Harga Jual],MATCH(Table1[[#This Row],[SKU]],Table2[SKU],0))</f>
        <v>850000</v>
      </c>
      <c r="J118" s="37">
        <f>VLOOKUP(Table1[[#This Row],[SKU]],Table2[],4,FALSE)</f>
        <v>450000</v>
      </c>
      <c r="K118" s="37">
        <f>INDEX(Table3[Biaya Kirim per Unit],MATCH(Table1[[#This Row],[Kota]],Table3[Kota],))</f>
        <v>25000</v>
      </c>
      <c r="L118" s="39">
        <f>VLOOKUP(Table1[[#This Row],[Kode_Promo]],Table4[],2,FALSE)</f>
        <v>0.1</v>
      </c>
      <c r="M118" s="37">
        <f>Table1[[#This Row],[Jumlah_Unit]]*Table1[[#This Row],[Harga_Satuan]]</f>
        <v>3400000</v>
      </c>
      <c r="N118" s="37">
        <f>Table1[[#This Row],[Total_Pendapatan_Kotor]]*Table1[[#This Row],[Persentase_Diskon]]</f>
        <v>340000</v>
      </c>
      <c r="O118" s="37">
        <f>Table1[[#This Row],[Total_Pendapatan_Kotor]]-Table1[[#This Row],[Potongan_Diskon]]</f>
        <v>3060000</v>
      </c>
      <c r="P118" s="37">
        <f>(Table1[[#This Row],[Jumlah_Unit]]*Table1[[#This Row],[HPP_Satuan]])+(Table1[[#This Row],[Jumlah_Unit]]*Table1[[#This Row],[Biaya_Kirim_Satuan]])</f>
        <v>1900000</v>
      </c>
      <c r="Q118" s="37">
        <f>Table1[[#This Row],[Total_Pendapatan_Bersih]]-Table1[[#This Row],[Total_Biaya]]</f>
        <v>1160000</v>
      </c>
      <c r="R118" s="5">
        <f>Table1[[#This Row],[Laba_Kotor]]/Table1[[#This Row],[Total_Pendapatan_Bersih]]</f>
        <v>0.37908496732026142</v>
      </c>
    </row>
    <row r="119" spans="1:18" ht="20.25" thickBot="1" x14ac:dyDescent="0.6">
      <c r="A119" s="3" t="s">
        <v>148</v>
      </c>
      <c r="B119" s="21">
        <v>45775</v>
      </c>
      <c r="C119" s="1" t="s">
        <v>23</v>
      </c>
      <c r="D119" s="1" t="s">
        <v>35</v>
      </c>
      <c r="E119" s="2">
        <v>2</v>
      </c>
      <c r="F119" s="1" t="s">
        <v>25</v>
      </c>
      <c r="G119" s="1" t="str">
        <f>INDEX(Table2[Nama Produk],MATCH(Table1[[#This Row],[SKU]],Table2[SKU],0))</f>
        <v>Meja Adjustable</v>
      </c>
      <c r="H119" s="1" t="str">
        <f>VLOOKUP(Table1[[#This Row],[SKU]],Table2[],3,FALSE)</f>
        <v>Furnitur</v>
      </c>
      <c r="I119" s="37">
        <f>INDEX(Table2[Harga Jual],MATCH(Table1[[#This Row],[SKU]],Table2[SKU],0))</f>
        <v>4200000</v>
      </c>
      <c r="J119" s="37">
        <f>VLOOKUP(Table1[[#This Row],[SKU]],Table2[],4,FALSE)</f>
        <v>2400000</v>
      </c>
      <c r="K119" s="37">
        <f>INDEX(Table3[Biaya Kirim per Unit],MATCH(Table1[[#This Row],[Kota]],Table3[Kota],))</f>
        <v>35000</v>
      </c>
      <c r="L119" s="39">
        <f>VLOOKUP(Table1[[#This Row],[Kode_Promo]],Table4[],2,FALSE)</f>
        <v>0.3</v>
      </c>
      <c r="M119" s="37">
        <f>Table1[[#This Row],[Jumlah_Unit]]*Table1[[#This Row],[Harga_Satuan]]</f>
        <v>8400000</v>
      </c>
      <c r="N119" s="37">
        <f>Table1[[#This Row],[Total_Pendapatan_Kotor]]*Table1[[#This Row],[Persentase_Diskon]]</f>
        <v>2520000</v>
      </c>
      <c r="O119" s="37">
        <f>Table1[[#This Row],[Total_Pendapatan_Kotor]]-Table1[[#This Row],[Potongan_Diskon]]</f>
        <v>5880000</v>
      </c>
      <c r="P119" s="37">
        <f>(Table1[[#This Row],[Jumlah_Unit]]*Table1[[#This Row],[HPP_Satuan]])+(Table1[[#This Row],[Jumlah_Unit]]*Table1[[#This Row],[Biaya_Kirim_Satuan]])</f>
        <v>4870000</v>
      </c>
      <c r="Q119" s="37">
        <f>Table1[[#This Row],[Total_Pendapatan_Bersih]]-Table1[[#This Row],[Total_Biaya]]</f>
        <v>1010000</v>
      </c>
      <c r="R119" s="5">
        <f>Table1[[#This Row],[Laba_Kotor]]/Table1[[#This Row],[Total_Pendapatan_Bersih]]</f>
        <v>0.17176870748299319</v>
      </c>
    </row>
    <row r="120" spans="1:18" ht="20.25" thickBot="1" x14ac:dyDescent="0.6">
      <c r="A120" s="3" t="s">
        <v>149</v>
      </c>
      <c r="B120" s="21">
        <v>45776</v>
      </c>
      <c r="C120" s="1" t="s">
        <v>27</v>
      </c>
      <c r="D120" s="1" t="s">
        <v>32</v>
      </c>
      <c r="E120" s="2">
        <v>3</v>
      </c>
      <c r="F120" s="1" t="s">
        <v>29</v>
      </c>
      <c r="G120" s="1" t="str">
        <f>INDEX(Table2[Nama Produk],MATCH(Table1[[#This Row],[SKU]],Table2[SKU],0))</f>
        <v>Monitor Ergonomis 27</v>
      </c>
      <c r="H120" s="1" t="str">
        <f>VLOOKUP(Table1[[#This Row],[SKU]],Table2[],3,FALSE)</f>
        <v>Elektronik</v>
      </c>
      <c r="I120" s="37">
        <f>INDEX(Table2[Harga Jual],MATCH(Table1[[#This Row],[SKU]],Table2[SKU],0))</f>
        <v>3400000</v>
      </c>
      <c r="J120" s="37">
        <f>VLOOKUP(Table1[[#This Row],[SKU]],Table2[],4,FALSE)</f>
        <v>2100000</v>
      </c>
      <c r="K120" s="37">
        <f>INDEX(Table3[Biaya Kirim per Unit],MATCH(Table1[[#This Row],[Kota]],Table3[Kota],))</f>
        <v>50000</v>
      </c>
      <c r="L120" s="39">
        <f>VLOOKUP(Table1[[#This Row],[Kode_Promo]],Table4[],2,FALSE)</f>
        <v>0</v>
      </c>
      <c r="M120" s="37">
        <f>Table1[[#This Row],[Jumlah_Unit]]*Table1[[#This Row],[Harga_Satuan]]</f>
        <v>10200000</v>
      </c>
      <c r="N120" s="37">
        <f>Table1[[#This Row],[Total_Pendapatan_Kotor]]*Table1[[#This Row],[Persentase_Diskon]]</f>
        <v>0</v>
      </c>
      <c r="O120" s="37">
        <f>Table1[[#This Row],[Total_Pendapatan_Kotor]]-Table1[[#This Row],[Potongan_Diskon]]</f>
        <v>10200000</v>
      </c>
      <c r="P120" s="37">
        <f>(Table1[[#This Row],[Jumlah_Unit]]*Table1[[#This Row],[HPP_Satuan]])+(Table1[[#This Row],[Jumlah_Unit]]*Table1[[#This Row],[Biaya_Kirim_Satuan]])</f>
        <v>6450000</v>
      </c>
      <c r="Q120" s="37">
        <f>Table1[[#This Row],[Total_Pendapatan_Bersih]]-Table1[[#This Row],[Total_Biaya]]</f>
        <v>3750000</v>
      </c>
      <c r="R120" s="5">
        <f>Table1[[#This Row],[Laba_Kotor]]/Table1[[#This Row],[Total_Pendapatan_Bersih]]</f>
        <v>0.36764705882352944</v>
      </c>
    </row>
    <row r="121" spans="1:18" ht="20.25" thickBot="1" x14ac:dyDescent="0.6">
      <c r="A121" s="3" t="s">
        <v>150</v>
      </c>
      <c r="B121" s="21">
        <v>45777</v>
      </c>
      <c r="C121" s="1" t="s">
        <v>31</v>
      </c>
      <c r="D121" s="1" t="s">
        <v>28</v>
      </c>
      <c r="E121" s="2">
        <v>1</v>
      </c>
      <c r="F121" s="1" t="s">
        <v>33</v>
      </c>
      <c r="G121" s="1" t="str">
        <f>INDEX(Table2[Nama Produk],MATCH(Table1[[#This Row],[SKU]],Table2[SKU],0))</f>
        <v>Kursi Kerja Ergonomis</v>
      </c>
      <c r="H121" s="1" t="str">
        <f>VLOOKUP(Table1[[#This Row],[SKU]],Table2[],3,FALSE)</f>
        <v>Furnitur</v>
      </c>
      <c r="I121" s="37">
        <f>INDEX(Table2[Harga Jual],MATCH(Table1[[#This Row],[SKU]],Table2[SKU],0))</f>
        <v>2100000</v>
      </c>
      <c r="J121" s="37">
        <f>VLOOKUP(Table1[[#This Row],[SKU]],Table2[],4,FALSE)</f>
        <v>1200000</v>
      </c>
      <c r="K121" s="37">
        <f>INDEX(Table3[Biaya Kirim per Unit],MATCH(Table1[[#This Row],[Kota]],Table3[Kota],))</f>
        <v>65000</v>
      </c>
      <c r="L121" s="39">
        <f>VLOOKUP(Table1[[#This Row],[Kode_Promo]],Table4[],2,FALSE)</f>
        <v>0.2</v>
      </c>
      <c r="M121" s="37">
        <f>Table1[[#This Row],[Jumlah_Unit]]*Table1[[#This Row],[Harga_Satuan]]</f>
        <v>2100000</v>
      </c>
      <c r="N121" s="37">
        <f>Table1[[#This Row],[Total_Pendapatan_Kotor]]*Table1[[#This Row],[Persentase_Diskon]]</f>
        <v>420000</v>
      </c>
      <c r="O121" s="37">
        <f>Table1[[#This Row],[Total_Pendapatan_Kotor]]-Table1[[#This Row],[Potongan_Diskon]]</f>
        <v>1680000</v>
      </c>
      <c r="P121" s="37">
        <f>(Table1[[#This Row],[Jumlah_Unit]]*Table1[[#This Row],[HPP_Satuan]])+(Table1[[#This Row],[Jumlah_Unit]]*Table1[[#This Row],[Biaya_Kirim_Satuan]])</f>
        <v>1265000</v>
      </c>
      <c r="Q121" s="37">
        <f>Table1[[#This Row],[Total_Pendapatan_Bersih]]-Table1[[#This Row],[Total_Biaya]]</f>
        <v>415000</v>
      </c>
      <c r="R121" s="5">
        <f>Table1[[#This Row],[Laba_Kotor]]/Table1[[#This Row],[Total_Pendapatan_Bersih]]</f>
        <v>0.24702380952380953</v>
      </c>
    </row>
    <row r="122" spans="1:18" ht="20.25" thickBot="1" x14ac:dyDescent="0.6">
      <c r="A122" s="3" t="s">
        <v>151</v>
      </c>
      <c r="B122" s="21">
        <v>45778</v>
      </c>
      <c r="C122" s="1" t="s">
        <v>19</v>
      </c>
      <c r="D122" s="1" t="s">
        <v>20</v>
      </c>
      <c r="E122" s="2">
        <v>2</v>
      </c>
      <c r="F122" s="1" t="s">
        <v>21</v>
      </c>
      <c r="G122" s="1" t="str">
        <f>INDEX(Table2[Nama Produk],MATCH(Table1[[#This Row],[SKU]],Table2[SKU],0))</f>
        <v>Laptop Pro 14</v>
      </c>
      <c r="H122" s="1" t="str">
        <f>VLOOKUP(Table1[[#This Row],[SKU]],Table2[],3,FALSE)</f>
        <v>Elektronik</v>
      </c>
      <c r="I122" s="37">
        <f>INDEX(Table2[Harga Jual],MATCH(Table1[[#This Row],[SKU]],Table2[SKU],0))</f>
        <v>12000000</v>
      </c>
      <c r="J122" s="37">
        <f>VLOOKUP(Table1[[#This Row],[SKU]],Table2[],4,FALSE)</f>
        <v>8500000</v>
      </c>
      <c r="K122" s="37">
        <f>INDEX(Table3[Biaya Kirim per Unit],MATCH(Table1[[#This Row],[Kota]],Table3[Kota],))</f>
        <v>25000</v>
      </c>
      <c r="L122" s="39">
        <f>VLOOKUP(Table1[[#This Row],[Kode_Promo]],Table4[],2,FALSE)</f>
        <v>0.1</v>
      </c>
      <c r="M122" s="37">
        <f>Table1[[#This Row],[Jumlah_Unit]]*Table1[[#This Row],[Harga_Satuan]]</f>
        <v>24000000</v>
      </c>
      <c r="N122" s="37">
        <f>Table1[[#This Row],[Total_Pendapatan_Kotor]]*Table1[[#This Row],[Persentase_Diskon]]</f>
        <v>2400000</v>
      </c>
      <c r="O122" s="37">
        <f>Table1[[#This Row],[Total_Pendapatan_Kotor]]-Table1[[#This Row],[Potongan_Diskon]]</f>
        <v>21600000</v>
      </c>
      <c r="P122" s="37">
        <f>(Table1[[#This Row],[Jumlah_Unit]]*Table1[[#This Row],[HPP_Satuan]])+(Table1[[#This Row],[Jumlah_Unit]]*Table1[[#This Row],[Biaya_Kirim_Satuan]])</f>
        <v>17050000</v>
      </c>
      <c r="Q122" s="37">
        <f>Table1[[#This Row],[Total_Pendapatan_Bersih]]-Table1[[#This Row],[Total_Biaya]]</f>
        <v>4550000</v>
      </c>
      <c r="R122" s="5">
        <f>Table1[[#This Row],[Laba_Kotor]]/Table1[[#This Row],[Total_Pendapatan_Bersih]]</f>
        <v>0.21064814814814814</v>
      </c>
    </row>
    <row r="123" spans="1:18" ht="20.25" thickBot="1" x14ac:dyDescent="0.6">
      <c r="A123" s="3" t="s">
        <v>152</v>
      </c>
      <c r="B123" s="21">
        <v>45779</v>
      </c>
      <c r="C123" s="1" t="s">
        <v>23</v>
      </c>
      <c r="D123" s="1" t="s">
        <v>24</v>
      </c>
      <c r="E123" s="2">
        <v>7</v>
      </c>
      <c r="F123" s="1" t="s">
        <v>25</v>
      </c>
      <c r="G123" s="1" t="str">
        <f>INDEX(Table2[Nama Produk],MATCH(Table1[[#This Row],[SKU]],Table2[SKU],0))</f>
        <v>Mechanical Keyboard</v>
      </c>
      <c r="H123" s="1" t="str">
        <f>VLOOKUP(Table1[[#This Row],[SKU]],Table2[],3,FALSE)</f>
        <v>Aksesori</v>
      </c>
      <c r="I123" s="37">
        <f>INDEX(Table2[Harga Jual],MATCH(Table1[[#This Row],[SKU]],Table2[SKU],0))</f>
        <v>850000</v>
      </c>
      <c r="J123" s="37">
        <f>VLOOKUP(Table1[[#This Row],[SKU]],Table2[],4,FALSE)</f>
        <v>450000</v>
      </c>
      <c r="K123" s="37">
        <f>INDEX(Table3[Biaya Kirim per Unit],MATCH(Table1[[#This Row],[Kota]],Table3[Kota],))</f>
        <v>35000</v>
      </c>
      <c r="L123" s="39">
        <f>VLOOKUP(Table1[[#This Row],[Kode_Promo]],Table4[],2,FALSE)</f>
        <v>0.3</v>
      </c>
      <c r="M123" s="37">
        <f>Table1[[#This Row],[Jumlah_Unit]]*Table1[[#This Row],[Harga_Satuan]]</f>
        <v>5950000</v>
      </c>
      <c r="N123" s="37">
        <f>Table1[[#This Row],[Total_Pendapatan_Kotor]]*Table1[[#This Row],[Persentase_Diskon]]</f>
        <v>1785000</v>
      </c>
      <c r="O123" s="37">
        <f>Table1[[#This Row],[Total_Pendapatan_Kotor]]-Table1[[#This Row],[Potongan_Diskon]]</f>
        <v>4165000</v>
      </c>
      <c r="P123" s="37">
        <f>(Table1[[#This Row],[Jumlah_Unit]]*Table1[[#This Row],[HPP_Satuan]])+(Table1[[#This Row],[Jumlah_Unit]]*Table1[[#This Row],[Biaya_Kirim_Satuan]])</f>
        <v>3395000</v>
      </c>
      <c r="Q123" s="37">
        <f>Table1[[#This Row],[Total_Pendapatan_Bersih]]-Table1[[#This Row],[Total_Biaya]]</f>
        <v>770000</v>
      </c>
      <c r="R123" s="5">
        <f>Table1[[#This Row],[Laba_Kotor]]/Table1[[#This Row],[Total_Pendapatan_Bersih]]</f>
        <v>0.18487394957983194</v>
      </c>
    </row>
    <row r="124" spans="1:18" ht="20.25" thickBot="1" x14ac:dyDescent="0.6">
      <c r="A124" s="3" t="s">
        <v>153</v>
      </c>
      <c r="B124" s="21">
        <v>45780</v>
      </c>
      <c r="C124" s="1" t="s">
        <v>27</v>
      </c>
      <c r="D124" s="1" t="s">
        <v>28</v>
      </c>
      <c r="E124" s="2">
        <v>4</v>
      </c>
      <c r="F124" s="1" t="s">
        <v>29</v>
      </c>
      <c r="G124" s="1" t="str">
        <f>INDEX(Table2[Nama Produk],MATCH(Table1[[#This Row],[SKU]],Table2[SKU],0))</f>
        <v>Kursi Kerja Ergonomis</v>
      </c>
      <c r="H124" s="1" t="str">
        <f>VLOOKUP(Table1[[#This Row],[SKU]],Table2[],3,FALSE)</f>
        <v>Furnitur</v>
      </c>
      <c r="I124" s="37">
        <f>INDEX(Table2[Harga Jual],MATCH(Table1[[#This Row],[SKU]],Table2[SKU],0))</f>
        <v>2100000</v>
      </c>
      <c r="J124" s="37">
        <f>VLOOKUP(Table1[[#This Row],[SKU]],Table2[],4,FALSE)</f>
        <v>1200000</v>
      </c>
      <c r="K124" s="37">
        <f>INDEX(Table3[Biaya Kirim per Unit],MATCH(Table1[[#This Row],[Kota]],Table3[Kota],))</f>
        <v>50000</v>
      </c>
      <c r="L124" s="39">
        <f>VLOOKUP(Table1[[#This Row],[Kode_Promo]],Table4[],2,FALSE)</f>
        <v>0</v>
      </c>
      <c r="M124" s="37">
        <f>Table1[[#This Row],[Jumlah_Unit]]*Table1[[#This Row],[Harga_Satuan]]</f>
        <v>8400000</v>
      </c>
      <c r="N124" s="37">
        <f>Table1[[#This Row],[Total_Pendapatan_Kotor]]*Table1[[#This Row],[Persentase_Diskon]]</f>
        <v>0</v>
      </c>
      <c r="O124" s="37">
        <f>Table1[[#This Row],[Total_Pendapatan_Kotor]]-Table1[[#This Row],[Potongan_Diskon]]</f>
        <v>8400000</v>
      </c>
      <c r="P124" s="37">
        <f>(Table1[[#This Row],[Jumlah_Unit]]*Table1[[#This Row],[HPP_Satuan]])+(Table1[[#This Row],[Jumlah_Unit]]*Table1[[#This Row],[Biaya_Kirim_Satuan]])</f>
        <v>5000000</v>
      </c>
      <c r="Q124" s="37">
        <f>Table1[[#This Row],[Total_Pendapatan_Bersih]]-Table1[[#This Row],[Total_Biaya]]</f>
        <v>3400000</v>
      </c>
      <c r="R124" s="5">
        <f>Table1[[#This Row],[Laba_Kotor]]/Table1[[#This Row],[Total_Pendapatan_Bersih]]</f>
        <v>0.40476190476190477</v>
      </c>
    </row>
    <row r="125" spans="1:18" ht="20.25" thickBot="1" x14ac:dyDescent="0.6">
      <c r="A125" s="3" t="s">
        <v>154</v>
      </c>
      <c r="B125" s="21">
        <v>45781</v>
      </c>
      <c r="C125" s="1" t="s">
        <v>31</v>
      </c>
      <c r="D125" s="1" t="s">
        <v>32</v>
      </c>
      <c r="E125" s="2">
        <v>2</v>
      </c>
      <c r="F125" s="1" t="s">
        <v>33</v>
      </c>
      <c r="G125" s="1" t="str">
        <f>INDEX(Table2[Nama Produk],MATCH(Table1[[#This Row],[SKU]],Table2[SKU],0))</f>
        <v>Monitor Ergonomis 27</v>
      </c>
      <c r="H125" s="1" t="str">
        <f>VLOOKUP(Table1[[#This Row],[SKU]],Table2[],3,FALSE)</f>
        <v>Elektronik</v>
      </c>
      <c r="I125" s="37">
        <f>INDEX(Table2[Harga Jual],MATCH(Table1[[#This Row],[SKU]],Table2[SKU],0))</f>
        <v>3400000</v>
      </c>
      <c r="J125" s="37">
        <f>VLOOKUP(Table1[[#This Row],[SKU]],Table2[],4,FALSE)</f>
        <v>2100000</v>
      </c>
      <c r="K125" s="37">
        <f>INDEX(Table3[Biaya Kirim per Unit],MATCH(Table1[[#This Row],[Kota]],Table3[Kota],))</f>
        <v>65000</v>
      </c>
      <c r="L125" s="39">
        <f>VLOOKUP(Table1[[#This Row],[Kode_Promo]],Table4[],2,FALSE)</f>
        <v>0.2</v>
      </c>
      <c r="M125" s="37">
        <f>Table1[[#This Row],[Jumlah_Unit]]*Table1[[#This Row],[Harga_Satuan]]</f>
        <v>6800000</v>
      </c>
      <c r="N125" s="37">
        <f>Table1[[#This Row],[Total_Pendapatan_Kotor]]*Table1[[#This Row],[Persentase_Diskon]]</f>
        <v>1360000</v>
      </c>
      <c r="O125" s="37">
        <f>Table1[[#This Row],[Total_Pendapatan_Kotor]]-Table1[[#This Row],[Potongan_Diskon]]</f>
        <v>5440000</v>
      </c>
      <c r="P125" s="37">
        <f>(Table1[[#This Row],[Jumlah_Unit]]*Table1[[#This Row],[HPP_Satuan]])+(Table1[[#This Row],[Jumlah_Unit]]*Table1[[#This Row],[Biaya_Kirim_Satuan]])</f>
        <v>4330000</v>
      </c>
      <c r="Q125" s="37">
        <f>Table1[[#This Row],[Total_Pendapatan_Bersih]]-Table1[[#This Row],[Total_Biaya]]</f>
        <v>1110000</v>
      </c>
      <c r="R125" s="5">
        <f>Table1[[#This Row],[Laba_Kotor]]/Table1[[#This Row],[Total_Pendapatan_Bersih]]</f>
        <v>0.20404411764705882</v>
      </c>
    </row>
    <row r="126" spans="1:18" ht="20.25" thickBot="1" x14ac:dyDescent="0.6">
      <c r="A126" s="3" t="s">
        <v>155</v>
      </c>
      <c r="B126" s="21">
        <v>45782</v>
      </c>
      <c r="C126" s="1" t="s">
        <v>19</v>
      </c>
      <c r="D126" s="1" t="s">
        <v>35</v>
      </c>
      <c r="E126" s="2">
        <v>3</v>
      </c>
      <c r="F126" s="1" t="s">
        <v>21</v>
      </c>
      <c r="G126" s="1" t="str">
        <f>INDEX(Table2[Nama Produk],MATCH(Table1[[#This Row],[SKU]],Table2[SKU],0))</f>
        <v>Meja Adjustable</v>
      </c>
      <c r="H126" s="1" t="str">
        <f>VLOOKUP(Table1[[#This Row],[SKU]],Table2[],3,FALSE)</f>
        <v>Furnitur</v>
      </c>
      <c r="I126" s="37">
        <f>INDEX(Table2[Harga Jual],MATCH(Table1[[#This Row],[SKU]],Table2[SKU],0))</f>
        <v>4200000</v>
      </c>
      <c r="J126" s="37">
        <f>VLOOKUP(Table1[[#This Row],[SKU]],Table2[],4,FALSE)</f>
        <v>2400000</v>
      </c>
      <c r="K126" s="37">
        <f>INDEX(Table3[Biaya Kirim per Unit],MATCH(Table1[[#This Row],[Kota]],Table3[Kota],))</f>
        <v>25000</v>
      </c>
      <c r="L126" s="39">
        <f>VLOOKUP(Table1[[#This Row],[Kode_Promo]],Table4[],2,FALSE)</f>
        <v>0.1</v>
      </c>
      <c r="M126" s="37">
        <f>Table1[[#This Row],[Jumlah_Unit]]*Table1[[#This Row],[Harga_Satuan]]</f>
        <v>12600000</v>
      </c>
      <c r="N126" s="37">
        <f>Table1[[#This Row],[Total_Pendapatan_Kotor]]*Table1[[#This Row],[Persentase_Diskon]]</f>
        <v>1260000</v>
      </c>
      <c r="O126" s="37">
        <f>Table1[[#This Row],[Total_Pendapatan_Kotor]]-Table1[[#This Row],[Potongan_Diskon]]</f>
        <v>11340000</v>
      </c>
      <c r="P126" s="37">
        <f>(Table1[[#This Row],[Jumlah_Unit]]*Table1[[#This Row],[HPP_Satuan]])+(Table1[[#This Row],[Jumlah_Unit]]*Table1[[#This Row],[Biaya_Kirim_Satuan]])</f>
        <v>7275000</v>
      </c>
      <c r="Q126" s="37">
        <f>Table1[[#This Row],[Total_Pendapatan_Bersih]]-Table1[[#This Row],[Total_Biaya]]</f>
        <v>4065000</v>
      </c>
      <c r="R126" s="5">
        <f>Table1[[#This Row],[Laba_Kotor]]/Table1[[#This Row],[Total_Pendapatan_Bersih]]</f>
        <v>0.35846560846560849</v>
      </c>
    </row>
    <row r="127" spans="1:18" ht="20.25" thickBot="1" x14ac:dyDescent="0.6">
      <c r="A127" s="3" t="s">
        <v>156</v>
      </c>
      <c r="B127" s="21">
        <v>45783</v>
      </c>
      <c r="C127" s="1" t="s">
        <v>23</v>
      </c>
      <c r="D127" s="1" t="s">
        <v>20</v>
      </c>
      <c r="E127" s="2">
        <v>1</v>
      </c>
      <c r="F127" s="1" t="s">
        <v>29</v>
      </c>
      <c r="G127" s="1" t="str">
        <f>INDEX(Table2[Nama Produk],MATCH(Table1[[#This Row],[SKU]],Table2[SKU],0))</f>
        <v>Laptop Pro 14</v>
      </c>
      <c r="H127" s="1" t="str">
        <f>VLOOKUP(Table1[[#This Row],[SKU]],Table2[],3,FALSE)</f>
        <v>Elektronik</v>
      </c>
      <c r="I127" s="37">
        <f>INDEX(Table2[Harga Jual],MATCH(Table1[[#This Row],[SKU]],Table2[SKU],0))</f>
        <v>12000000</v>
      </c>
      <c r="J127" s="37">
        <f>VLOOKUP(Table1[[#This Row],[SKU]],Table2[],4,FALSE)</f>
        <v>8500000</v>
      </c>
      <c r="K127" s="37">
        <f>INDEX(Table3[Biaya Kirim per Unit],MATCH(Table1[[#This Row],[Kota]],Table3[Kota],))</f>
        <v>35000</v>
      </c>
      <c r="L127" s="39">
        <f>VLOOKUP(Table1[[#This Row],[Kode_Promo]],Table4[],2,FALSE)</f>
        <v>0</v>
      </c>
      <c r="M127" s="37">
        <f>Table1[[#This Row],[Jumlah_Unit]]*Table1[[#This Row],[Harga_Satuan]]</f>
        <v>12000000</v>
      </c>
      <c r="N127" s="37">
        <f>Table1[[#This Row],[Total_Pendapatan_Kotor]]*Table1[[#This Row],[Persentase_Diskon]]</f>
        <v>0</v>
      </c>
      <c r="O127" s="37">
        <f>Table1[[#This Row],[Total_Pendapatan_Kotor]]-Table1[[#This Row],[Potongan_Diskon]]</f>
        <v>12000000</v>
      </c>
      <c r="P127" s="37">
        <f>(Table1[[#This Row],[Jumlah_Unit]]*Table1[[#This Row],[HPP_Satuan]])+(Table1[[#This Row],[Jumlah_Unit]]*Table1[[#This Row],[Biaya_Kirim_Satuan]])</f>
        <v>8535000</v>
      </c>
      <c r="Q127" s="37">
        <f>Table1[[#This Row],[Total_Pendapatan_Bersih]]-Table1[[#This Row],[Total_Biaya]]</f>
        <v>3465000</v>
      </c>
      <c r="R127" s="5">
        <f>Table1[[#This Row],[Laba_Kotor]]/Table1[[#This Row],[Total_Pendapatan_Bersih]]</f>
        <v>0.28875000000000001</v>
      </c>
    </row>
    <row r="128" spans="1:18" ht="20.25" thickBot="1" x14ac:dyDescent="0.6">
      <c r="A128" s="3" t="s">
        <v>157</v>
      </c>
      <c r="B128" s="21">
        <v>45784</v>
      </c>
      <c r="C128" s="1" t="s">
        <v>27</v>
      </c>
      <c r="D128" s="1" t="s">
        <v>24</v>
      </c>
      <c r="E128" s="2">
        <v>5</v>
      </c>
      <c r="F128" s="1" t="s">
        <v>25</v>
      </c>
      <c r="G128" s="1" t="str">
        <f>INDEX(Table2[Nama Produk],MATCH(Table1[[#This Row],[SKU]],Table2[SKU],0))</f>
        <v>Mechanical Keyboard</v>
      </c>
      <c r="H128" s="1" t="str">
        <f>VLOOKUP(Table1[[#This Row],[SKU]],Table2[],3,FALSE)</f>
        <v>Aksesori</v>
      </c>
      <c r="I128" s="37">
        <f>INDEX(Table2[Harga Jual],MATCH(Table1[[#This Row],[SKU]],Table2[SKU],0))</f>
        <v>850000</v>
      </c>
      <c r="J128" s="37">
        <f>VLOOKUP(Table1[[#This Row],[SKU]],Table2[],4,FALSE)</f>
        <v>450000</v>
      </c>
      <c r="K128" s="37">
        <f>INDEX(Table3[Biaya Kirim per Unit],MATCH(Table1[[#This Row],[Kota]],Table3[Kota],))</f>
        <v>50000</v>
      </c>
      <c r="L128" s="39">
        <f>VLOOKUP(Table1[[#This Row],[Kode_Promo]],Table4[],2,FALSE)</f>
        <v>0.3</v>
      </c>
      <c r="M128" s="37">
        <f>Table1[[#This Row],[Jumlah_Unit]]*Table1[[#This Row],[Harga_Satuan]]</f>
        <v>4250000</v>
      </c>
      <c r="N128" s="37">
        <f>Table1[[#This Row],[Total_Pendapatan_Kotor]]*Table1[[#This Row],[Persentase_Diskon]]</f>
        <v>1275000</v>
      </c>
      <c r="O128" s="37">
        <f>Table1[[#This Row],[Total_Pendapatan_Kotor]]-Table1[[#This Row],[Potongan_Diskon]]</f>
        <v>2975000</v>
      </c>
      <c r="P128" s="37">
        <f>(Table1[[#This Row],[Jumlah_Unit]]*Table1[[#This Row],[HPP_Satuan]])+(Table1[[#This Row],[Jumlah_Unit]]*Table1[[#This Row],[Biaya_Kirim_Satuan]])</f>
        <v>2500000</v>
      </c>
      <c r="Q128" s="37">
        <f>Table1[[#This Row],[Total_Pendapatan_Bersih]]-Table1[[#This Row],[Total_Biaya]]</f>
        <v>475000</v>
      </c>
      <c r="R128" s="5">
        <f>Table1[[#This Row],[Laba_Kotor]]/Table1[[#This Row],[Total_Pendapatan_Bersih]]</f>
        <v>0.15966386554621848</v>
      </c>
    </row>
    <row r="129" spans="1:18" ht="20.25" thickBot="1" x14ac:dyDescent="0.6">
      <c r="A129" s="3" t="s">
        <v>158</v>
      </c>
      <c r="B129" s="21">
        <v>45785</v>
      </c>
      <c r="C129" s="1" t="s">
        <v>31</v>
      </c>
      <c r="D129" s="1" t="s">
        <v>35</v>
      </c>
      <c r="E129" s="2">
        <v>2</v>
      </c>
      <c r="F129" s="1" t="s">
        <v>33</v>
      </c>
      <c r="G129" s="1" t="str">
        <f>INDEX(Table2[Nama Produk],MATCH(Table1[[#This Row],[SKU]],Table2[SKU],0))</f>
        <v>Meja Adjustable</v>
      </c>
      <c r="H129" s="1" t="str">
        <f>VLOOKUP(Table1[[#This Row],[SKU]],Table2[],3,FALSE)</f>
        <v>Furnitur</v>
      </c>
      <c r="I129" s="37">
        <f>INDEX(Table2[Harga Jual],MATCH(Table1[[#This Row],[SKU]],Table2[SKU],0))</f>
        <v>4200000</v>
      </c>
      <c r="J129" s="37">
        <f>VLOOKUP(Table1[[#This Row],[SKU]],Table2[],4,FALSE)</f>
        <v>2400000</v>
      </c>
      <c r="K129" s="37">
        <f>INDEX(Table3[Biaya Kirim per Unit],MATCH(Table1[[#This Row],[Kota]],Table3[Kota],))</f>
        <v>65000</v>
      </c>
      <c r="L129" s="39">
        <f>VLOOKUP(Table1[[#This Row],[Kode_Promo]],Table4[],2,FALSE)</f>
        <v>0.2</v>
      </c>
      <c r="M129" s="37">
        <f>Table1[[#This Row],[Jumlah_Unit]]*Table1[[#This Row],[Harga_Satuan]]</f>
        <v>8400000</v>
      </c>
      <c r="N129" s="37">
        <f>Table1[[#This Row],[Total_Pendapatan_Kotor]]*Table1[[#This Row],[Persentase_Diskon]]</f>
        <v>1680000</v>
      </c>
      <c r="O129" s="37">
        <f>Table1[[#This Row],[Total_Pendapatan_Kotor]]-Table1[[#This Row],[Potongan_Diskon]]</f>
        <v>6720000</v>
      </c>
      <c r="P129" s="37">
        <f>(Table1[[#This Row],[Jumlah_Unit]]*Table1[[#This Row],[HPP_Satuan]])+(Table1[[#This Row],[Jumlah_Unit]]*Table1[[#This Row],[Biaya_Kirim_Satuan]])</f>
        <v>4930000</v>
      </c>
      <c r="Q129" s="37">
        <f>Table1[[#This Row],[Total_Pendapatan_Bersih]]-Table1[[#This Row],[Total_Biaya]]</f>
        <v>1790000</v>
      </c>
      <c r="R129" s="5">
        <f>Table1[[#This Row],[Laba_Kotor]]/Table1[[#This Row],[Total_Pendapatan_Bersih]]</f>
        <v>0.26636904761904762</v>
      </c>
    </row>
    <row r="130" spans="1:18" ht="20.25" thickBot="1" x14ac:dyDescent="0.6">
      <c r="A130" s="3" t="s">
        <v>159</v>
      </c>
      <c r="B130" s="21">
        <v>45786</v>
      </c>
      <c r="C130" s="1" t="s">
        <v>19</v>
      </c>
      <c r="D130" s="1" t="s">
        <v>32</v>
      </c>
      <c r="E130" s="2">
        <v>4</v>
      </c>
      <c r="F130" s="1" t="s">
        <v>21</v>
      </c>
      <c r="G130" s="1" t="str">
        <f>INDEX(Table2[Nama Produk],MATCH(Table1[[#This Row],[SKU]],Table2[SKU],0))</f>
        <v>Monitor Ergonomis 27</v>
      </c>
      <c r="H130" s="1" t="str">
        <f>VLOOKUP(Table1[[#This Row],[SKU]],Table2[],3,FALSE)</f>
        <v>Elektronik</v>
      </c>
      <c r="I130" s="37">
        <f>INDEX(Table2[Harga Jual],MATCH(Table1[[#This Row],[SKU]],Table2[SKU],0))</f>
        <v>3400000</v>
      </c>
      <c r="J130" s="37">
        <f>VLOOKUP(Table1[[#This Row],[SKU]],Table2[],4,FALSE)</f>
        <v>2100000</v>
      </c>
      <c r="K130" s="37">
        <f>INDEX(Table3[Biaya Kirim per Unit],MATCH(Table1[[#This Row],[Kota]],Table3[Kota],))</f>
        <v>25000</v>
      </c>
      <c r="L130" s="39">
        <f>VLOOKUP(Table1[[#This Row],[Kode_Promo]],Table4[],2,FALSE)</f>
        <v>0.1</v>
      </c>
      <c r="M130" s="37">
        <f>Table1[[#This Row],[Jumlah_Unit]]*Table1[[#This Row],[Harga_Satuan]]</f>
        <v>13600000</v>
      </c>
      <c r="N130" s="37">
        <f>Table1[[#This Row],[Total_Pendapatan_Kotor]]*Table1[[#This Row],[Persentase_Diskon]]</f>
        <v>1360000</v>
      </c>
      <c r="O130" s="37">
        <f>Table1[[#This Row],[Total_Pendapatan_Kotor]]-Table1[[#This Row],[Potongan_Diskon]]</f>
        <v>12240000</v>
      </c>
      <c r="P130" s="37">
        <f>(Table1[[#This Row],[Jumlah_Unit]]*Table1[[#This Row],[HPP_Satuan]])+(Table1[[#This Row],[Jumlah_Unit]]*Table1[[#This Row],[Biaya_Kirim_Satuan]])</f>
        <v>8500000</v>
      </c>
      <c r="Q130" s="37">
        <f>Table1[[#This Row],[Total_Pendapatan_Bersih]]-Table1[[#This Row],[Total_Biaya]]</f>
        <v>3740000</v>
      </c>
      <c r="R130" s="5">
        <f>Table1[[#This Row],[Laba_Kotor]]/Table1[[#This Row],[Total_Pendapatan_Bersih]]</f>
        <v>0.30555555555555558</v>
      </c>
    </row>
    <row r="131" spans="1:18" ht="20.25" thickBot="1" x14ac:dyDescent="0.6">
      <c r="A131" s="3" t="s">
        <v>160</v>
      </c>
      <c r="B131" s="21">
        <v>45787</v>
      </c>
      <c r="C131" s="1" t="s">
        <v>23</v>
      </c>
      <c r="D131" s="1" t="s">
        <v>28</v>
      </c>
      <c r="E131" s="2">
        <v>3</v>
      </c>
      <c r="F131" s="1" t="s">
        <v>25</v>
      </c>
      <c r="G131" s="1" t="str">
        <f>INDEX(Table2[Nama Produk],MATCH(Table1[[#This Row],[SKU]],Table2[SKU],0))</f>
        <v>Kursi Kerja Ergonomis</v>
      </c>
      <c r="H131" s="1" t="str">
        <f>VLOOKUP(Table1[[#This Row],[SKU]],Table2[],3,FALSE)</f>
        <v>Furnitur</v>
      </c>
      <c r="I131" s="37">
        <f>INDEX(Table2[Harga Jual],MATCH(Table1[[#This Row],[SKU]],Table2[SKU],0))</f>
        <v>2100000</v>
      </c>
      <c r="J131" s="37">
        <f>VLOOKUP(Table1[[#This Row],[SKU]],Table2[],4,FALSE)</f>
        <v>1200000</v>
      </c>
      <c r="K131" s="37">
        <f>INDEX(Table3[Biaya Kirim per Unit],MATCH(Table1[[#This Row],[Kota]],Table3[Kota],))</f>
        <v>35000</v>
      </c>
      <c r="L131" s="39">
        <f>VLOOKUP(Table1[[#This Row],[Kode_Promo]],Table4[],2,FALSE)</f>
        <v>0.3</v>
      </c>
      <c r="M131" s="37">
        <f>Table1[[#This Row],[Jumlah_Unit]]*Table1[[#This Row],[Harga_Satuan]]</f>
        <v>6300000</v>
      </c>
      <c r="N131" s="37">
        <f>Table1[[#This Row],[Total_Pendapatan_Kotor]]*Table1[[#This Row],[Persentase_Diskon]]</f>
        <v>1890000</v>
      </c>
      <c r="O131" s="37">
        <f>Table1[[#This Row],[Total_Pendapatan_Kotor]]-Table1[[#This Row],[Potongan_Diskon]]</f>
        <v>4410000</v>
      </c>
      <c r="P131" s="37">
        <f>(Table1[[#This Row],[Jumlah_Unit]]*Table1[[#This Row],[HPP_Satuan]])+(Table1[[#This Row],[Jumlah_Unit]]*Table1[[#This Row],[Biaya_Kirim_Satuan]])</f>
        <v>3705000</v>
      </c>
      <c r="Q131" s="37">
        <f>Table1[[#This Row],[Total_Pendapatan_Bersih]]-Table1[[#This Row],[Total_Biaya]]</f>
        <v>705000</v>
      </c>
      <c r="R131" s="5">
        <f>Table1[[#This Row],[Laba_Kotor]]/Table1[[#This Row],[Total_Pendapatan_Bersih]]</f>
        <v>0.1598639455782313</v>
      </c>
    </row>
    <row r="132" spans="1:18" ht="20.25" thickBot="1" x14ac:dyDescent="0.6">
      <c r="A132" s="3" t="s">
        <v>161</v>
      </c>
      <c r="B132" s="21">
        <v>45788</v>
      </c>
      <c r="C132" s="1" t="s">
        <v>27</v>
      </c>
      <c r="D132" s="1" t="s">
        <v>20</v>
      </c>
      <c r="E132" s="2">
        <v>2</v>
      </c>
      <c r="F132" s="1" t="s">
        <v>29</v>
      </c>
      <c r="G132" s="1" t="str">
        <f>INDEX(Table2[Nama Produk],MATCH(Table1[[#This Row],[SKU]],Table2[SKU],0))</f>
        <v>Laptop Pro 14</v>
      </c>
      <c r="H132" s="1" t="str">
        <f>VLOOKUP(Table1[[#This Row],[SKU]],Table2[],3,FALSE)</f>
        <v>Elektronik</v>
      </c>
      <c r="I132" s="37">
        <f>INDEX(Table2[Harga Jual],MATCH(Table1[[#This Row],[SKU]],Table2[SKU],0))</f>
        <v>12000000</v>
      </c>
      <c r="J132" s="37">
        <f>VLOOKUP(Table1[[#This Row],[SKU]],Table2[],4,FALSE)</f>
        <v>8500000</v>
      </c>
      <c r="K132" s="37">
        <f>INDEX(Table3[Biaya Kirim per Unit],MATCH(Table1[[#This Row],[Kota]],Table3[Kota],))</f>
        <v>50000</v>
      </c>
      <c r="L132" s="39">
        <f>VLOOKUP(Table1[[#This Row],[Kode_Promo]],Table4[],2,FALSE)</f>
        <v>0</v>
      </c>
      <c r="M132" s="37">
        <f>Table1[[#This Row],[Jumlah_Unit]]*Table1[[#This Row],[Harga_Satuan]]</f>
        <v>24000000</v>
      </c>
      <c r="N132" s="37">
        <f>Table1[[#This Row],[Total_Pendapatan_Kotor]]*Table1[[#This Row],[Persentase_Diskon]]</f>
        <v>0</v>
      </c>
      <c r="O132" s="37">
        <f>Table1[[#This Row],[Total_Pendapatan_Kotor]]-Table1[[#This Row],[Potongan_Diskon]]</f>
        <v>24000000</v>
      </c>
      <c r="P132" s="37">
        <f>(Table1[[#This Row],[Jumlah_Unit]]*Table1[[#This Row],[HPP_Satuan]])+(Table1[[#This Row],[Jumlah_Unit]]*Table1[[#This Row],[Biaya_Kirim_Satuan]])</f>
        <v>17100000</v>
      </c>
      <c r="Q132" s="37">
        <f>Table1[[#This Row],[Total_Pendapatan_Bersih]]-Table1[[#This Row],[Total_Biaya]]</f>
        <v>6900000</v>
      </c>
      <c r="R132" s="5">
        <f>Table1[[#This Row],[Laba_Kotor]]/Table1[[#This Row],[Total_Pendapatan_Bersih]]</f>
        <v>0.28749999999999998</v>
      </c>
    </row>
    <row r="133" spans="1:18" ht="20.25" thickBot="1" x14ac:dyDescent="0.6">
      <c r="A133" s="3" t="s">
        <v>162</v>
      </c>
      <c r="B133" s="21">
        <v>45789</v>
      </c>
      <c r="C133" s="1" t="s">
        <v>31</v>
      </c>
      <c r="D133" s="1" t="s">
        <v>24</v>
      </c>
      <c r="E133" s="2">
        <v>6</v>
      </c>
      <c r="F133" s="1" t="s">
        <v>33</v>
      </c>
      <c r="G133" s="1" t="str">
        <f>INDEX(Table2[Nama Produk],MATCH(Table1[[#This Row],[SKU]],Table2[SKU],0))</f>
        <v>Mechanical Keyboard</v>
      </c>
      <c r="H133" s="1" t="str">
        <f>VLOOKUP(Table1[[#This Row],[SKU]],Table2[],3,FALSE)</f>
        <v>Aksesori</v>
      </c>
      <c r="I133" s="37">
        <f>INDEX(Table2[Harga Jual],MATCH(Table1[[#This Row],[SKU]],Table2[SKU],0))</f>
        <v>850000</v>
      </c>
      <c r="J133" s="37">
        <f>VLOOKUP(Table1[[#This Row],[SKU]],Table2[],4,FALSE)</f>
        <v>450000</v>
      </c>
      <c r="K133" s="37">
        <f>INDEX(Table3[Biaya Kirim per Unit],MATCH(Table1[[#This Row],[Kota]],Table3[Kota],))</f>
        <v>65000</v>
      </c>
      <c r="L133" s="39">
        <f>VLOOKUP(Table1[[#This Row],[Kode_Promo]],Table4[],2,FALSE)</f>
        <v>0.2</v>
      </c>
      <c r="M133" s="37">
        <f>Table1[[#This Row],[Jumlah_Unit]]*Table1[[#This Row],[Harga_Satuan]]</f>
        <v>5100000</v>
      </c>
      <c r="N133" s="37">
        <f>Table1[[#This Row],[Total_Pendapatan_Kotor]]*Table1[[#This Row],[Persentase_Diskon]]</f>
        <v>1020000</v>
      </c>
      <c r="O133" s="37">
        <f>Table1[[#This Row],[Total_Pendapatan_Kotor]]-Table1[[#This Row],[Potongan_Diskon]]</f>
        <v>4080000</v>
      </c>
      <c r="P133" s="37">
        <f>(Table1[[#This Row],[Jumlah_Unit]]*Table1[[#This Row],[HPP_Satuan]])+(Table1[[#This Row],[Jumlah_Unit]]*Table1[[#This Row],[Biaya_Kirim_Satuan]])</f>
        <v>3090000</v>
      </c>
      <c r="Q133" s="37">
        <f>Table1[[#This Row],[Total_Pendapatan_Bersih]]-Table1[[#This Row],[Total_Biaya]]</f>
        <v>990000</v>
      </c>
      <c r="R133" s="5">
        <f>Table1[[#This Row],[Laba_Kotor]]/Table1[[#This Row],[Total_Pendapatan_Bersih]]</f>
        <v>0.24264705882352941</v>
      </c>
    </row>
    <row r="134" spans="1:18" ht="20.25" thickBot="1" x14ac:dyDescent="0.6">
      <c r="A134" s="3" t="s">
        <v>163</v>
      </c>
      <c r="B134" s="21">
        <v>45790</v>
      </c>
      <c r="C134" s="1" t="s">
        <v>19</v>
      </c>
      <c r="D134" s="1" t="s">
        <v>28</v>
      </c>
      <c r="E134" s="2">
        <v>1</v>
      </c>
      <c r="F134" s="1" t="s">
        <v>21</v>
      </c>
      <c r="G134" s="1" t="str">
        <f>INDEX(Table2[Nama Produk],MATCH(Table1[[#This Row],[SKU]],Table2[SKU],0))</f>
        <v>Kursi Kerja Ergonomis</v>
      </c>
      <c r="H134" s="1" t="str">
        <f>VLOOKUP(Table1[[#This Row],[SKU]],Table2[],3,FALSE)</f>
        <v>Furnitur</v>
      </c>
      <c r="I134" s="37">
        <f>INDEX(Table2[Harga Jual],MATCH(Table1[[#This Row],[SKU]],Table2[SKU],0))</f>
        <v>2100000</v>
      </c>
      <c r="J134" s="37">
        <f>VLOOKUP(Table1[[#This Row],[SKU]],Table2[],4,FALSE)</f>
        <v>1200000</v>
      </c>
      <c r="K134" s="37">
        <f>INDEX(Table3[Biaya Kirim per Unit],MATCH(Table1[[#This Row],[Kota]],Table3[Kota],))</f>
        <v>25000</v>
      </c>
      <c r="L134" s="39">
        <f>VLOOKUP(Table1[[#This Row],[Kode_Promo]],Table4[],2,FALSE)</f>
        <v>0.1</v>
      </c>
      <c r="M134" s="37">
        <f>Table1[[#This Row],[Jumlah_Unit]]*Table1[[#This Row],[Harga_Satuan]]</f>
        <v>2100000</v>
      </c>
      <c r="N134" s="37">
        <f>Table1[[#This Row],[Total_Pendapatan_Kotor]]*Table1[[#This Row],[Persentase_Diskon]]</f>
        <v>210000</v>
      </c>
      <c r="O134" s="37">
        <f>Table1[[#This Row],[Total_Pendapatan_Kotor]]-Table1[[#This Row],[Potongan_Diskon]]</f>
        <v>1890000</v>
      </c>
      <c r="P134" s="37">
        <f>(Table1[[#This Row],[Jumlah_Unit]]*Table1[[#This Row],[HPP_Satuan]])+(Table1[[#This Row],[Jumlah_Unit]]*Table1[[#This Row],[Biaya_Kirim_Satuan]])</f>
        <v>1225000</v>
      </c>
      <c r="Q134" s="37">
        <f>Table1[[#This Row],[Total_Pendapatan_Bersih]]-Table1[[#This Row],[Total_Biaya]]</f>
        <v>665000</v>
      </c>
      <c r="R134" s="5">
        <f>Table1[[#This Row],[Laba_Kotor]]/Table1[[#This Row],[Total_Pendapatan_Bersih]]</f>
        <v>0.35185185185185186</v>
      </c>
    </row>
    <row r="135" spans="1:18" ht="20.25" thickBot="1" x14ac:dyDescent="0.6">
      <c r="A135" s="3" t="s">
        <v>164</v>
      </c>
      <c r="B135" s="21">
        <v>45791</v>
      </c>
      <c r="C135" s="1" t="s">
        <v>23</v>
      </c>
      <c r="D135" s="1" t="s">
        <v>32</v>
      </c>
      <c r="E135" s="2">
        <v>3</v>
      </c>
      <c r="F135" s="1" t="s">
        <v>25</v>
      </c>
      <c r="G135" s="1" t="str">
        <f>INDEX(Table2[Nama Produk],MATCH(Table1[[#This Row],[SKU]],Table2[SKU],0))</f>
        <v>Monitor Ergonomis 27</v>
      </c>
      <c r="H135" s="1" t="str">
        <f>VLOOKUP(Table1[[#This Row],[SKU]],Table2[],3,FALSE)</f>
        <v>Elektronik</v>
      </c>
      <c r="I135" s="37">
        <f>INDEX(Table2[Harga Jual],MATCH(Table1[[#This Row],[SKU]],Table2[SKU],0))</f>
        <v>3400000</v>
      </c>
      <c r="J135" s="37">
        <f>VLOOKUP(Table1[[#This Row],[SKU]],Table2[],4,FALSE)</f>
        <v>2100000</v>
      </c>
      <c r="K135" s="37">
        <f>INDEX(Table3[Biaya Kirim per Unit],MATCH(Table1[[#This Row],[Kota]],Table3[Kota],))</f>
        <v>35000</v>
      </c>
      <c r="L135" s="39">
        <f>VLOOKUP(Table1[[#This Row],[Kode_Promo]],Table4[],2,FALSE)</f>
        <v>0.3</v>
      </c>
      <c r="M135" s="37">
        <f>Table1[[#This Row],[Jumlah_Unit]]*Table1[[#This Row],[Harga_Satuan]]</f>
        <v>10200000</v>
      </c>
      <c r="N135" s="37">
        <f>Table1[[#This Row],[Total_Pendapatan_Kotor]]*Table1[[#This Row],[Persentase_Diskon]]</f>
        <v>3060000</v>
      </c>
      <c r="O135" s="37">
        <f>Table1[[#This Row],[Total_Pendapatan_Kotor]]-Table1[[#This Row],[Potongan_Diskon]]</f>
        <v>7140000</v>
      </c>
      <c r="P135" s="37">
        <f>(Table1[[#This Row],[Jumlah_Unit]]*Table1[[#This Row],[HPP_Satuan]])+(Table1[[#This Row],[Jumlah_Unit]]*Table1[[#This Row],[Biaya_Kirim_Satuan]])</f>
        <v>6405000</v>
      </c>
      <c r="Q135" s="37">
        <f>Table1[[#This Row],[Total_Pendapatan_Bersih]]-Table1[[#This Row],[Total_Biaya]]</f>
        <v>735000</v>
      </c>
      <c r="R135" s="5">
        <f>Table1[[#This Row],[Laba_Kotor]]/Table1[[#This Row],[Total_Pendapatan_Bersih]]</f>
        <v>0.10294117647058823</v>
      </c>
    </row>
    <row r="136" spans="1:18" ht="20.25" thickBot="1" x14ac:dyDescent="0.6">
      <c r="A136" s="3" t="s">
        <v>165</v>
      </c>
      <c r="B136" s="21">
        <v>45792</v>
      </c>
      <c r="C136" s="1" t="s">
        <v>27</v>
      </c>
      <c r="D136" s="1" t="s">
        <v>35</v>
      </c>
      <c r="E136" s="2">
        <v>5</v>
      </c>
      <c r="F136" s="1" t="s">
        <v>29</v>
      </c>
      <c r="G136" s="1" t="str">
        <f>INDEX(Table2[Nama Produk],MATCH(Table1[[#This Row],[SKU]],Table2[SKU],0))</f>
        <v>Meja Adjustable</v>
      </c>
      <c r="H136" s="1" t="str">
        <f>VLOOKUP(Table1[[#This Row],[SKU]],Table2[],3,FALSE)</f>
        <v>Furnitur</v>
      </c>
      <c r="I136" s="37">
        <f>INDEX(Table2[Harga Jual],MATCH(Table1[[#This Row],[SKU]],Table2[SKU],0))</f>
        <v>4200000</v>
      </c>
      <c r="J136" s="37">
        <f>VLOOKUP(Table1[[#This Row],[SKU]],Table2[],4,FALSE)</f>
        <v>2400000</v>
      </c>
      <c r="K136" s="37">
        <f>INDEX(Table3[Biaya Kirim per Unit],MATCH(Table1[[#This Row],[Kota]],Table3[Kota],))</f>
        <v>50000</v>
      </c>
      <c r="L136" s="39">
        <f>VLOOKUP(Table1[[#This Row],[Kode_Promo]],Table4[],2,FALSE)</f>
        <v>0</v>
      </c>
      <c r="M136" s="37">
        <f>Table1[[#This Row],[Jumlah_Unit]]*Table1[[#This Row],[Harga_Satuan]]</f>
        <v>21000000</v>
      </c>
      <c r="N136" s="37">
        <f>Table1[[#This Row],[Total_Pendapatan_Kotor]]*Table1[[#This Row],[Persentase_Diskon]]</f>
        <v>0</v>
      </c>
      <c r="O136" s="37">
        <f>Table1[[#This Row],[Total_Pendapatan_Kotor]]-Table1[[#This Row],[Potongan_Diskon]]</f>
        <v>21000000</v>
      </c>
      <c r="P136" s="37">
        <f>(Table1[[#This Row],[Jumlah_Unit]]*Table1[[#This Row],[HPP_Satuan]])+(Table1[[#This Row],[Jumlah_Unit]]*Table1[[#This Row],[Biaya_Kirim_Satuan]])</f>
        <v>12250000</v>
      </c>
      <c r="Q136" s="37">
        <f>Table1[[#This Row],[Total_Pendapatan_Bersih]]-Table1[[#This Row],[Total_Biaya]]</f>
        <v>8750000</v>
      </c>
      <c r="R136" s="5">
        <f>Table1[[#This Row],[Laba_Kotor]]/Table1[[#This Row],[Total_Pendapatan_Bersih]]</f>
        <v>0.41666666666666669</v>
      </c>
    </row>
    <row r="137" spans="1:18" ht="20.25" thickBot="1" x14ac:dyDescent="0.6">
      <c r="A137" s="3" t="s">
        <v>166</v>
      </c>
      <c r="B137" s="21">
        <v>45793</v>
      </c>
      <c r="C137" s="1" t="s">
        <v>31</v>
      </c>
      <c r="D137" s="1" t="s">
        <v>20</v>
      </c>
      <c r="E137" s="2">
        <v>2</v>
      </c>
      <c r="F137" s="1" t="s">
        <v>33</v>
      </c>
      <c r="G137" s="1" t="str">
        <f>INDEX(Table2[Nama Produk],MATCH(Table1[[#This Row],[SKU]],Table2[SKU],0))</f>
        <v>Laptop Pro 14</v>
      </c>
      <c r="H137" s="1" t="str">
        <f>VLOOKUP(Table1[[#This Row],[SKU]],Table2[],3,FALSE)</f>
        <v>Elektronik</v>
      </c>
      <c r="I137" s="37">
        <f>INDEX(Table2[Harga Jual],MATCH(Table1[[#This Row],[SKU]],Table2[SKU],0))</f>
        <v>12000000</v>
      </c>
      <c r="J137" s="37">
        <f>VLOOKUP(Table1[[#This Row],[SKU]],Table2[],4,FALSE)</f>
        <v>8500000</v>
      </c>
      <c r="K137" s="37">
        <f>INDEX(Table3[Biaya Kirim per Unit],MATCH(Table1[[#This Row],[Kota]],Table3[Kota],))</f>
        <v>65000</v>
      </c>
      <c r="L137" s="39">
        <f>VLOOKUP(Table1[[#This Row],[Kode_Promo]],Table4[],2,FALSE)</f>
        <v>0.2</v>
      </c>
      <c r="M137" s="37">
        <f>Table1[[#This Row],[Jumlah_Unit]]*Table1[[#This Row],[Harga_Satuan]]</f>
        <v>24000000</v>
      </c>
      <c r="N137" s="37">
        <f>Table1[[#This Row],[Total_Pendapatan_Kotor]]*Table1[[#This Row],[Persentase_Diskon]]</f>
        <v>4800000</v>
      </c>
      <c r="O137" s="37">
        <f>Table1[[#This Row],[Total_Pendapatan_Kotor]]-Table1[[#This Row],[Potongan_Diskon]]</f>
        <v>19200000</v>
      </c>
      <c r="P137" s="37">
        <f>(Table1[[#This Row],[Jumlah_Unit]]*Table1[[#This Row],[HPP_Satuan]])+(Table1[[#This Row],[Jumlah_Unit]]*Table1[[#This Row],[Biaya_Kirim_Satuan]])</f>
        <v>17130000</v>
      </c>
      <c r="Q137" s="37">
        <f>Table1[[#This Row],[Total_Pendapatan_Bersih]]-Table1[[#This Row],[Total_Biaya]]</f>
        <v>2070000</v>
      </c>
      <c r="R137" s="5">
        <f>Table1[[#This Row],[Laba_Kotor]]/Table1[[#This Row],[Total_Pendapatan_Bersih]]</f>
        <v>0.10781250000000001</v>
      </c>
    </row>
    <row r="138" spans="1:18" ht="20.25" thickBot="1" x14ac:dyDescent="0.6">
      <c r="A138" s="3" t="s">
        <v>167</v>
      </c>
      <c r="B138" s="21">
        <v>45794</v>
      </c>
      <c r="C138" s="1" t="s">
        <v>19</v>
      </c>
      <c r="D138" s="1" t="s">
        <v>24</v>
      </c>
      <c r="E138" s="2">
        <v>3</v>
      </c>
      <c r="F138" s="1" t="s">
        <v>21</v>
      </c>
      <c r="G138" s="1" t="str">
        <f>INDEX(Table2[Nama Produk],MATCH(Table1[[#This Row],[SKU]],Table2[SKU],0))</f>
        <v>Mechanical Keyboard</v>
      </c>
      <c r="H138" s="1" t="str">
        <f>VLOOKUP(Table1[[#This Row],[SKU]],Table2[],3,FALSE)</f>
        <v>Aksesori</v>
      </c>
      <c r="I138" s="37">
        <f>INDEX(Table2[Harga Jual],MATCH(Table1[[#This Row],[SKU]],Table2[SKU],0))</f>
        <v>850000</v>
      </c>
      <c r="J138" s="37">
        <f>VLOOKUP(Table1[[#This Row],[SKU]],Table2[],4,FALSE)</f>
        <v>450000</v>
      </c>
      <c r="K138" s="37">
        <f>INDEX(Table3[Biaya Kirim per Unit],MATCH(Table1[[#This Row],[Kota]],Table3[Kota],))</f>
        <v>25000</v>
      </c>
      <c r="L138" s="39">
        <f>VLOOKUP(Table1[[#This Row],[Kode_Promo]],Table4[],2,FALSE)</f>
        <v>0.1</v>
      </c>
      <c r="M138" s="37">
        <f>Table1[[#This Row],[Jumlah_Unit]]*Table1[[#This Row],[Harga_Satuan]]</f>
        <v>2550000</v>
      </c>
      <c r="N138" s="37">
        <f>Table1[[#This Row],[Total_Pendapatan_Kotor]]*Table1[[#This Row],[Persentase_Diskon]]</f>
        <v>255000</v>
      </c>
      <c r="O138" s="37">
        <f>Table1[[#This Row],[Total_Pendapatan_Kotor]]-Table1[[#This Row],[Potongan_Diskon]]</f>
        <v>2295000</v>
      </c>
      <c r="P138" s="37">
        <f>(Table1[[#This Row],[Jumlah_Unit]]*Table1[[#This Row],[HPP_Satuan]])+(Table1[[#This Row],[Jumlah_Unit]]*Table1[[#This Row],[Biaya_Kirim_Satuan]])</f>
        <v>1425000</v>
      </c>
      <c r="Q138" s="37">
        <f>Table1[[#This Row],[Total_Pendapatan_Bersih]]-Table1[[#This Row],[Total_Biaya]]</f>
        <v>870000</v>
      </c>
      <c r="R138" s="5">
        <f>Table1[[#This Row],[Laba_Kotor]]/Table1[[#This Row],[Total_Pendapatan_Bersih]]</f>
        <v>0.37908496732026142</v>
      </c>
    </row>
    <row r="139" spans="1:18" ht="20.25" thickBot="1" x14ac:dyDescent="0.6">
      <c r="A139" s="3" t="s">
        <v>168</v>
      </c>
      <c r="B139" s="21">
        <v>45795</v>
      </c>
      <c r="C139" s="1" t="s">
        <v>23</v>
      </c>
      <c r="D139" s="1" t="s">
        <v>35</v>
      </c>
      <c r="E139" s="2">
        <v>4</v>
      </c>
      <c r="F139" s="1" t="s">
        <v>25</v>
      </c>
      <c r="G139" s="1" t="str">
        <f>INDEX(Table2[Nama Produk],MATCH(Table1[[#This Row],[SKU]],Table2[SKU],0))</f>
        <v>Meja Adjustable</v>
      </c>
      <c r="H139" s="1" t="str">
        <f>VLOOKUP(Table1[[#This Row],[SKU]],Table2[],3,FALSE)</f>
        <v>Furnitur</v>
      </c>
      <c r="I139" s="37">
        <f>INDEX(Table2[Harga Jual],MATCH(Table1[[#This Row],[SKU]],Table2[SKU],0))</f>
        <v>4200000</v>
      </c>
      <c r="J139" s="37">
        <f>VLOOKUP(Table1[[#This Row],[SKU]],Table2[],4,FALSE)</f>
        <v>2400000</v>
      </c>
      <c r="K139" s="37">
        <f>INDEX(Table3[Biaya Kirim per Unit],MATCH(Table1[[#This Row],[Kota]],Table3[Kota],))</f>
        <v>35000</v>
      </c>
      <c r="L139" s="39">
        <f>VLOOKUP(Table1[[#This Row],[Kode_Promo]],Table4[],2,FALSE)</f>
        <v>0.3</v>
      </c>
      <c r="M139" s="37">
        <f>Table1[[#This Row],[Jumlah_Unit]]*Table1[[#This Row],[Harga_Satuan]]</f>
        <v>16800000</v>
      </c>
      <c r="N139" s="37">
        <f>Table1[[#This Row],[Total_Pendapatan_Kotor]]*Table1[[#This Row],[Persentase_Diskon]]</f>
        <v>5040000</v>
      </c>
      <c r="O139" s="37">
        <f>Table1[[#This Row],[Total_Pendapatan_Kotor]]-Table1[[#This Row],[Potongan_Diskon]]</f>
        <v>11760000</v>
      </c>
      <c r="P139" s="37">
        <f>(Table1[[#This Row],[Jumlah_Unit]]*Table1[[#This Row],[HPP_Satuan]])+(Table1[[#This Row],[Jumlah_Unit]]*Table1[[#This Row],[Biaya_Kirim_Satuan]])</f>
        <v>9740000</v>
      </c>
      <c r="Q139" s="37">
        <f>Table1[[#This Row],[Total_Pendapatan_Bersih]]-Table1[[#This Row],[Total_Biaya]]</f>
        <v>2020000</v>
      </c>
      <c r="R139" s="5">
        <f>Table1[[#This Row],[Laba_Kotor]]/Table1[[#This Row],[Total_Pendapatan_Bersih]]</f>
        <v>0.17176870748299319</v>
      </c>
    </row>
    <row r="140" spans="1:18" ht="20.25" thickBot="1" x14ac:dyDescent="0.6">
      <c r="A140" s="3" t="s">
        <v>169</v>
      </c>
      <c r="B140" s="21">
        <v>45796</v>
      </c>
      <c r="C140" s="1" t="s">
        <v>27</v>
      </c>
      <c r="D140" s="1" t="s">
        <v>32</v>
      </c>
      <c r="E140" s="2">
        <v>2</v>
      </c>
      <c r="F140" s="1" t="s">
        <v>29</v>
      </c>
      <c r="G140" s="1" t="str">
        <f>INDEX(Table2[Nama Produk],MATCH(Table1[[#This Row],[SKU]],Table2[SKU],0))</f>
        <v>Monitor Ergonomis 27</v>
      </c>
      <c r="H140" s="1" t="str">
        <f>VLOOKUP(Table1[[#This Row],[SKU]],Table2[],3,FALSE)</f>
        <v>Elektronik</v>
      </c>
      <c r="I140" s="37">
        <f>INDEX(Table2[Harga Jual],MATCH(Table1[[#This Row],[SKU]],Table2[SKU],0))</f>
        <v>3400000</v>
      </c>
      <c r="J140" s="37">
        <f>VLOOKUP(Table1[[#This Row],[SKU]],Table2[],4,FALSE)</f>
        <v>2100000</v>
      </c>
      <c r="K140" s="37">
        <f>INDEX(Table3[Biaya Kirim per Unit],MATCH(Table1[[#This Row],[Kota]],Table3[Kota],))</f>
        <v>50000</v>
      </c>
      <c r="L140" s="39">
        <f>VLOOKUP(Table1[[#This Row],[Kode_Promo]],Table4[],2,FALSE)</f>
        <v>0</v>
      </c>
      <c r="M140" s="37">
        <f>Table1[[#This Row],[Jumlah_Unit]]*Table1[[#This Row],[Harga_Satuan]]</f>
        <v>6800000</v>
      </c>
      <c r="N140" s="37">
        <f>Table1[[#This Row],[Total_Pendapatan_Kotor]]*Table1[[#This Row],[Persentase_Diskon]]</f>
        <v>0</v>
      </c>
      <c r="O140" s="37">
        <f>Table1[[#This Row],[Total_Pendapatan_Kotor]]-Table1[[#This Row],[Potongan_Diskon]]</f>
        <v>6800000</v>
      </c>
      <c r="P140" s="37">
        <f>(Table1[[#This Row],[Jumlah_Unit]]*Table1[[#This Row],[HPP_Satuan]])+(Table1[[#This Row],[Jumlah_Unit]]*Table1[[#This Row],[Biaya_Kirim_Satuan]])</f>
        <v>4300000</v>
      </c>
      <c r="Q140" s="37">
        <f>Table1[[#This Row],[Total_Pendapatan_Bersih]]-Table1[[#This Row],[Total_Biaya]]</f>
        <v>2500000</v>
      </c>
      <c r="R140" s="5">
        <f>Table1[[#This Row],[Laba_Kotor]]/Table1[[#This Row],[Total_Pendapatan_Bersih]]</f>
        <v>0.36764705882352944</v>
      </c>
    </row>
    <row r="141" spans="1:18" ht="20.25" thickBot="1" x14ac:dyDescent="0.6">
      <c r="A141" s="3" t="s">
        <v>170</v>
      </c>
      <c r="B141" s="21">
        <v>45797</v>
      </c>
      <c r="C141" s="1" t="s">
        <v>31</v>
      </c>
      <c r="D141" s="1" t="s">
        <v>28</v>
      </c>
      <c r="E141" s="2">
        <v>5</v>
      </c>
      <c r="F141" s="1" t="s">
        <v>33</v>
      </c>
      <c r="G141" s="1" t="str">
        <f>INDEX(Table2[Nama Produk],MATCH(Table1[[#This Row],[SKU]],Table2[SKU],0))</f>
        <v>Kursi Kerja Ergonomis</v>
      </c>
      <c r="H141" s="1" t="str">
        <f>VLOOKUP(Table1[[#This Row],[SKU]],Table2[],3,FALSE)</f>
        <v>Furnitur</v>
      </c>
      <c r="I141" s="37">
        <f>INDEX(Table2[Harga Jual],MATCH(Table1[[#This Row],[SKU]],Table2[SKU],0))</f>
        <v>2100000</v>
      </c>
      <c r="J141" s="37">
        <f>VLOOKUP(Table1[[#This Row],[SKU]],Table2[],4,FALSE)</f>
        <v>1200000</v>
      </c>
      <c r="K141" s="37">
        <f>INDEX(Table3[Biaya Kirim per Unit],MATCH(Table1[[#This Row],[Kota]],Table3[Kota],))</f>
        <v>65000</v>
      </c>
      <c r="L141" s="39">
        <f>VLOOKUP(Table1[[#This Row],[Kode_Promo]],Table4[],2,FALSE)</f>
        <v>0.2</v>
      </c>
      <c r="M141" s="37">
        <f>Table1[[#This Row],[Jumlah_Unit]]*Table1[[#This Row],[Harga_Satuan]]</f>
        <v>10500000</v>
      </c>
      <c r="N141" s="37">
        <f>Table1[[#This Row],[Total_Pendapatan_Kotor]]*Table1[[#This Row],[Persentase_Diskon]]</f>
        <v>2100000</v>
      </c>
      <c r="O141" s="37">
        <f>Table1[[#This Row],[Total_Pendapatan_Kotor]]-Table1[[#This Row],[Potongan_Diskon]]</f>
        <v>8400000</v>
      </c>
      <c r="P141" s="37">
        <f>(Table1[[#This Row],[Jumlah_Unit]]*Table1[[#This Row],[HPP_Satuan]])+(Table1[[#This Row],[Jumlah_Unit]]*Table1[[#This Row],[Biaya_Kirim_Satuan]])</f>
        <v>6325000</v>
      </c>
      <c r="Q141" s="37">
        <f>Table1[[#This Row],[Total_Pendapatan_Bersih]]-Table1[[#This Row],[Total_Biaya]]</f>
        <v>2075000</v>
      </c>
      <c r="R141" s="5">
        <f>Table1[[#This Row],[Laba_Kotor]]/Table1[[#This Row],[Total_Pendapatan_Bersih]]</f>
        <v>0.24702380952380953</v>
      </c>
    </row>
    <row r="142" spans="1:18" ht="20.25" thickBot="1" x14ac:dyDescent="0.6">
      <c r="A142" s="3" t="s">
        <v>171</v>
      </c>
      <c r="B142" s="21">
        <v>45798</v>
      </c>
      <c r="C142" s="1" t="s">
        <v>19</v>
      </c>
      <c r="D142" s="1" t="s">
        <v>20</v>
      </c>
      <c r="E142" s="2">
        <v>3</v>
      </c>
      <c r="F142" s="1" t="s">
        <v>21</v>
      </c>
      <c r="G142" s="1" t="str">
        <f>INDEX(Table2[Nama Produk],MATCH(Table1[[#This Row],[SKU]],Table2[SKU],0))</f>
        <v>Laptop Pro 14</v>
      </c>
      <c r="H142" s="1" t="str">
        <f>VLOOKUP(Table1[[#This Row],[SKU]],Table2[],3,FALSE)</f>
        <v>Elektronik</v>
      </c>
      <c r="I142" s="37">
        <f>INDEX(Table2[Harga Jual],MATCH(Table1[[#This Row],[SKU]],Table2[SKU],0))</f>
        <v>12000000</v>
      </c>
      <c r="J142" s="37">
        <f>VLOOKUP(Table1[[#This Row],[SKU]],Table2[],4,FALSE)</f>
        <v>8500000</v>
      </c>
      <c r="K142" s="37">
        <f>INDEX(Table3[Biaya Kirim per Unit],MATCH(Table1[[#This Row],[Kota]],Table3[Kota],))</f>
        <v>25000</v>
      </c>
      <c r="L142" s="39">
        <f>VLOOKUP(Table1[[#This Row],[Kode_Promo]],Table4[],2,FALSE)</f>
        <v>0.1</v>
      </c>
      <c r="M142" s="37">
        <f>Table1[[#This Row],[Jumlah_Unit]]*Table1[[#This Row],[Harga_Satuan]]</f>
        <v>36000000</v>
      </c>
      <c r="N142" s="37">
        <f>Table1[[#This Row],[Total_Pendapatan_Kotor]]*Table1[[#This Row],[Persentase_Diskon]]</f>
        <v>3600000</v>
      </c>
      <c r="O142" s="37">
        <f>Table1[[#This Row],[Total_Pendapatan_Kotor]]-Table1[[#This Row],[Potongan_Diskon]]</f>
        <v>32400000</v>
      </c>
      <c r="P142" s="37">
        <f>(Table1[[#This Row],[Jumlah_Unit]]*Table1[[#This Row],[HPP_Satuan]])+(Table1[[#This Row],[Jumlah_Unit]]*Table1[[#This Row],[Biaya_Kirim_Satuan]])</f>
        <v>25575000</v>
      </c>
      <c r="Q142" s="37">
        <f>Table1[[#This Row],[Total_Pendapatan_Bersih]]-Table1[[#This Row],[Total_Biaya]]</f>
        <v>6825000</v>
      </c>
      <c r="R142" s="5">
        <f>Table1[[#This Row],[Laba_Kotor]]/Table1[[#This Row],[Total_Pendapatan_Bersih]]</f>
        <v>0.21064814814814814</v>
      </c>
    </row>
    <row r="143" spans="1:18" ht="20.25" thickBot="1" x14ac:dyDescent="0.6">
      <c r="A143" s="3" t="s">
        <v>172</v>
      </c>
      <c r="B143" s="21">
        <v>45799</v>
      </c>
      <c r="C143" s="1" t="s">
        <v>23</v>
      </c>
      <c r="D143" s="1" t="s">
        <v>24</v>
      </c>
      <c r="E143" s="2">
        <v>8</v>
      </c>
      <c r="F143" s="1" t="s">
        <v>25</v>
      </c>
      <c r="G143" s="1" t="str">
        <f>INDEX(Table2[Nama Produk],MATCH(Table1[[#This Row],[SKU]],Table2[SKU],0))</f>
        <v>Mechanical Keyboard</v>
      </c>
      <c r="H143" s="1" t="str">
        <f>VLOOKUP(Table1[[#This Row],[SKU]],Table2[],3,FALSE)</f>
        <v>Aksesori</v>
      </c>
      <c r="I143" s="37">
        <f>INDEX(Table2[Harga Jual],MATCH(Table1[[#This Row],[SKU]],Table2[SKU],0))</f>
        <v>850000</v>
      </c>
      <c r="J143" s="37">
        <f>VLOOKUP(Table1[[#This Row],[SKU]],Table2[],4,FALSE)</f>
        <v>450000</v>
      </c>
      <c r="K143" s="37">
        <f>INDEX(Table3[Biaya Kirim per Unit],MATCH(Table1[[#This Row],[Kota]],Table3[Kota],))</f>
        <v>35000</v>
      </c>
      <c r="L143" s="39">
        <f>VLOOKUP(Table1[[#This Row],[Kode_Promo]],Table4[],2,FALSE)</f>
        <v>0.3</v>
      </c>
      <c r="M143" s="37">
        <f>Table1[[#This Row],[Jumlah_Unit]]*Table1[[#This Row],[Harga_Satuan]]</f>
        <v>6800000</v>
      </c>
      <c r="N143" s="37">
        <f>Table1[[#This Row],[Total_Pendapatan_Kotor]]*Table1[[#This Row],[Persentase_Diskon]]</f>
        <v>2040000</v>
      </c>
      <c r="O143" s="37">
        <f>Table1[[#This Row],[Total_Pendapatan_Kotor]]-Table1[[#This Row],[Potongan_Diskon]]</f>
        <v>4760000</v>
      </c>
      <c r="P143" s="37">
        <f>(Table1[[#This Row],[Jumlah_Unit]]*Table1[[#This Row],[HPP_Satuan]])+(Table1[[#This Row],[Jumlah_Unit]]*Table1[[#This Row],[Biaya_Kirim_Satuan]])</f>
        <v>3880000</v>
      </c>
      <c r="Q143" s="37">
        <f>Table1[[#This Row],[Total_Pendapatan_Bersih]]-Table1[[#This Row],[Total_Biaya]]</f>
        <v>880000</v>
      </c>
      <c r="R143" s="5">
        <f>Table1[[#This Row],[Laba_Kotor]]/Table1[[#This Row],[Total_Pendapatan_Bersih]]</f>
        <v>0.18487394957983194</v>
      </c>
    </row>
    <row r="144" spans="1:18" ht="20.25" thickBot="1" x14ac:dyDescent="0.6">
      <c r="A144" s="3" t="s">
        <v>173</v>
      </c>
      <c r="B144" s="21">
        <v>45800</v>
      </c>
      <c r="C144" s="1" t="s">
        <v>27</v>
      </c>
      <c r="D144" s="1" t="s">
        <v>28</v>
      </c>
      <c r="E144" s="2">
        <v>1</v>
      </c>
      <c r="F144" s="1" t="s">
        <v>29</v>
      </c>
      <c r="G144" s="1" t="str">
        <f>INDEX(Table2[Nama Produk],MATCH(Table1[[#This Row],[SKU]],Table2[SKU],0))</f>
        <v>Kursi Kerja Ergonomis</v>
      </c>
      <c r="H144" s="1" t="str">
        <f>VLOOKUP(Table1[[#This Row],[SKU]],Table2[],3,FALSE)</f>
        <v>Furnitur</v>
      </c>
      <c r="I144" s="37">
        <f>INDEX(Table2[Harga Jual],MATCH(Table1[[#This Row],[SKU]],Table2[SKU],0))</f>
        <v>2100000</v>
      </c>
      <c r="J144" s="37">
        <f>VLOOKUP(Table1[[#This Row],[SKU]],Table2[],4,FALSE)</f>
        <v>1200000</v>
      </c>
      <c r="K144" s="37">
        <f>INDEX(Table3[Biaya Kirim per Unit],MATCH(Table1[[#This Row],[Kota]],Table3[Kota],))</f>
        <v>50000</v>
      </c>
      <c r="L144" s="39">
        <f>VLOOKUP(Table1[[#This Row],[Kode_Promo]],Table4[],2,FALSE)</f>
        <v>0</v>
      </c>
      <c r="M144" s="37">
        <f>Table1[[#This Row],[Jumlah_Unit]]*Table1[[#This Row],[Harga_Satuan]]</f>
        <v>2100000</v>
      </c>
      <c r="N144" s="37">
        <f>Table1[[#This Row],[Total_Pendapatan_Kotor]]*Table1[[#This Row],[Persentase_Diskon]]</f>
        <v>0</v>
      </c>
      <c r="O144" s="37">
        <f>Table1[[#This Row],[Total_Pendapatan_Kotor]]-Table1[[#This Row],[Potongan_Diskon]]</f>
        <v>2100000</v>
      </c>
      <c r="P144" s="37">
        <f>(Table1[[#This Row],[Jumlah_Unit]]*Table1[[#This Row],[HPP_Satuan]])+(Table1[[#This Row],[Jumlah_Unit]]*Table1[[#This Row],[Biaya_Kirim_Satuan]])</f>
        <v>1250000</v>
      </c>
      <c r="Q144" s="37">
        <f>Table1[[#This Row],[Total_Pendapatan_Bersih]]-Table1[[#This Row],[Total_Biaya]]</f>
        <v>850000</v>
      </c>
      <c r="R144" s="5">
        <f>Table1[[#This Row],[Laba_Kotor]]/Table1[[#This Row],[Total_Pendapatan_Bersih]]</f>
        <v>0.40476190476190477</v>
      </c>
    </row>
    <row r="145" spans="1:18" ht="20.25" thickBot="1" x14ac:dyDescent="0.6">
      <c r="A145" s="3" t="s">
        <v>174</v>
      </c>
      <c r="B145" s="21">
        <v>45801</v>
      </c>
      <c r="C145" s="1" t="s">
        <v>31</v>
      </c>
      <c r="D145" s="1" t="s">
        <v>32</v>
      </c>
      <c r="E145" s="2">
        <v>4</v>
      </c>
      <c r="F145" s="1" t="s">
        <v>33</v>
      </c>
      <c r="G145" s="1" t="str">
        <f>INDEX(Table2[Nama Produk],MATCH(Table1[[#This Row],[SKU]],Table2[SKU],0))</f>
        <v>Monitor Ergonomis 27</v>
      </c>
      <c r="H145" s="1" t="str">
        <f>VLOOKUP(Table1[[#This Row],[SKU]],Table2[],3,FALSE)</f>
        <v>Elektronik</v>
      </c>
      <c r="I145" s="37">
        <f>INDEX(Table2[Harga Jual],MATCH(Table1[[#This Row],[SKU]],Table2[SKU],0))</f>
        <v>3400000</v>
      </c>
      <c r="J145" s="37">
        <f>VLOOKUP(Table1[[#This Row],[SKU]],Table2[],4,FALSE)</f>
        <v>2100000</v>
      </c>
      <c r="K145" s="37">
        <f>INDEX(Table3[Biaya Kirim per Unit],MATCH(Table1[[#This Row],[Kota]],Table3[Kota],))</f>
        <v>65000</v>
      </c>
      <c r="L145" s="39">
        <f>VLOOKUP(Table1[[#This Row],[Kode_Promo]],Table4[],2,FALSE)</f>
        <v>0.2</v>
      </c>
      <c r="M145" s="37">
        <f>Table1[[#This Row],[Jumlah_Unit]]*Table1[[#This Row],[Harga_Satuan]]</f>
        <v>13600000</v>
      </c>
      <c r="N145" s="37">
        <f>Table1[[#This Row],[Total_Pendapatan_Kotor]]*Table1[[#This Row],[Persentase_Diskon]]</f>
        <v>2720000</v>
      </c>
      <c r="O145" s="37">
        <f>Table1[[#This Row],[Total_Pendapatan_Kotor]]-Table1[[#This Row],[Potongan_Diskon]]</f>
        <v>10880000</v>
      </c>
      <c r="P145" s="37">
        <f>(Table1[[#This Row],[Jumlah_Unit]]*Table1[[#This Row],[HPP_Satuan]])+(Table1[[#This Row],[Jumlah_Unit]]*Table1[[#This Row],[Biaya_Kirim_Satuan]])</f>
        <v>8660000</v>
      </c>
      <c r="Q145" s="37">
        <f>Table1[[#This Row],[Total_Pendapatan_Bersih]]-Table1[[#This Row],[Total_Biaya]]</f>
        <v>2220000</v>
      </c>
      <c r="R145" s="5">
        <f>Table1[[#This Row],[Laba_Kotor]]/Table1[[#This Row],[Total_Pendapatan_Bersih]]</f>
        <v>0.20404411764705882</v>
      </c>
    </row>
    <row r="146" spans="1:18" ht="20.25" thickBot="1" x14ac:dyDescent="0.6">
      <c r="A146" s="3" t="s">
        <v>175</v>
      </c>
      <c r="B146" s="21">
        <v>45802</v>
      </c>
      <c r="C146" s="1" t="s">
        <v>19</v>
      </c>
      <c r="D146" s="1" t="s">
        <v>35</v>
      </c>
      <c r="E146" s="2">
        <v>2</v>
      </c>
      <c r="F146" s="1" t="s">
        <v>21</v>
      </c>
      <c r="G146" s="1" t="str">
        <f>INDEX(Table2[Nama Produk],MATCH(Table1[[#This Row],[SKU]],Table2[SKU],0))</f>
        <v>Meja Adjustable</v>
      </c>
      <c r="H146" s="1" t="str">
        <f>VLOOKUP(Table1[[#This Row],[SKU]],Table2[],3,FALSE)</f>
        <v>Furnitur</v>
      </c>
      <c r="I146" s="37">
        <f>INDEX(Table2[Harga Jual],MATCH(Table1[[#This Row],[SKU]],Table2[SKU],0))</f>
        <v>4200000</v>
      </c>
      <c r="J146" s="37">
        <f>VLOOKUP(Table1[[#This Row],[SKU]],Table2[],4,FALSE)</f>
        <v>2400000</v>
      </c>
      <c r="K146" s="37">
        <f>INDEX(Table3[Biaya Kirim per Unit],MATCH(Table1[[#This Row],[Kota]],Table3[Kota],))</f>
        <v>25000</v>
      </c>
      <c r="L146" s="39">
        <f>VLOOKUP(Table1[[#This Row],[Kode_Promo]],Table4[],2,FALSE)</f>
        <v>0.1</v>
      </c>
      <c r="M146" s="37">
        <f>Table1[[#This Row],[Jumlah_Unit]]*Table1[[#This Row],[Harga_Satuan]]</f>
        <v>8400000</v>
      </c>
      <c r="N146" s="37">
        <f>Table1[[#This Row],[Total_Pendapatan_Kotor]]*Table1[[#This Row],[Persentase_Diskon]]</f>
        <v>840000</v>
      </c>
      <c r="O146" s="37">
        <f>Table1[[#This Row],[Total_Pendapatan_Kotor]]-Table1[[#This Row],[Potongan_Diskon]]</f>
        <v>7560000</v>
      </c>
      <c r="P146" s="37">
        <f>(Table1[[#This Row],[Jumlah_Unit]]*Table1[[#This Row],[HPP_Satuan]])+(Table1[[#This Row],[Jumlah_Unit]]*Table1[[#This Row],[Biaya_Kirim_Satuan]])</f>
        <v>4850000</v>
      </c>
      <c r="Q146" s="37">
        <f>Table1[[#This Row],[Total_Pendapatan_Bersih]]-Table1[[#This Row],[Total_Biaya]]</f>
        <v>2710000</v>
      </c>
      <c r="R146" s="5">
        <f>Table1[[#This Row],[Laba_Kotor]]/Table1[[#This Row],[Total_Pendapatan_Bersih]]</f>
        <v>0.35846560846560849</v>
      </c>
    </row>
    <row r="147" spans="1:18" ht="20.25" thickBot="1" x14ac:dyDescent="0.6">
      <c r="A147" s="3" t="s">
        <v>176</v>
      </c>
      <c r="B147" s="21">
        <v>45803</v>
      </c>
      <c r="C147" s="1" t="s">
        <v>23</v>
      </c>
      <c r="D147" s="1" t="s">
        <v>20</v>
      </c>
      <c r="E147" s="2">
        <v>3</v>
      </c>
      <c r="F147" s="1" t="s">
        <v>29</v>
      </c>
      <c r="G147" s="1" t="str">
        <f>INDEX(Table2[Nama Produk],MATCH(Table1[[#This Row],[SKU]],Table2[SKU],0))</f>
        <v>Laptop Pro 14</v>
      </c>
      <c r="H147" s="1" t="str">
        <f>VLOOKUP(Table1[[#This Row],[SKU]],Table2[],3,FALSE)</f>
        <v>Elektronik</v>
      </c>
      <c r="I147" s="37">
        <f>INDEX(Table2[Harga Jual],MATCH(Table1[[#This Row],[SKU]],Table2[SKU],0))</f>
        <v>12000000</v>
      </c>
      <c r="J147" s="37">
        <f>VLOOKUP(Table1[[#This Row],[SKU]],Table2[],4,FALSE)</f>
        <v>8500000</v>
      </c>
      <c r="K147" s="37">
        <f>INDEX(Table3[Biaya Kirim per Unit],MATCH(Table1[[#This Row],[Kota]],Table3[Kota],))</f>
        <v>35000</v>
      </c>
      <c r="L147" s="39">
        <f>VLOOKUP(Table1[[#This Row],[Kode_Promo]],Table4[],2,FALSE)</f>
        <v>0</v>
      </c>
      <c r="M147" s="37">
        <f>Table1[[#This Row],[Jumlah_Unit]]*Table1[[#This Row],[Harga_Satuan]]</f>
        <v>36000000</v>
      </c>
      <c r="N147" s="37">
        <f>Table1[[#This Row],[Total_Pendapatan_Kotor]]*Table1[[#This Row],[Persentase_Diskon]]</f>
        <v>0</v>
      </c>
      <c r="O147" s="37">
        <f>Table1[[#This Row],[Total_Pendapatan_Kotor]]-Table1[[#This Row],[Potongan_Diskon]]</f>
        <v>36000000</v>
      </c>
      <c r="P147" s="37">
        <f>(Table1[[#This Row],[Jumlah_Unit]]*Table1[[#This Row],[HPP_Satuan]])+(Table1[[#This Row],[Jumlah_Unit]]*Table1[[#This Row],[Biaya_Kirim_Satuan]])</f>
        <v>25605000</v>
      </c>
      <c r="Q147" s="37">
        <f>Table1[[#This Row],[Total_Pendapatan_Bersih]]-Table1[[#This Row],[Total_Biaya]]</f>
        <v>10395000</v>
      </c>
      <c r="R147" s="5">
        <f>Table1[[#This Row],[Laba_Kotor]]/Table1[[#This Row],[Total_Pendapatan_Bersih]]</f>
        <v>0.28875000000000001</v>
      </c>
    </row>
    <row r="148" spans="1:18" ht="20.25" thickBot="1" x14ac:dyDescent="0.6">
      <c r="A148" s="3" t="s">
        <v>177</v>
      </c>
      <c r="B148" s="21">
        <v>45804</v>
      </c>
      <c r="C148" s="1" t="s">
        <v>27</v>
      </c>
      <c r="D148" s="1" t="s">
        <v>24</v>
      </c>
      <c r="E148" s="2">
        <v>5</v>
      </c>
      <c r="F148" s="1" t="s">
        <v>25</v>
      </c>
      <c r="G148" s="1" t="str">
        <f>INDEX(Table2[Nama Produk],MATCH(Table1[[#This Row],[SKU]],Table2[SKU],0))</f>
        <v>Mechanical Keyboard</v>
      </c>
      <c r="H148" s="1" t="str">
        <f>VLOOKUP(Table1[[#This Row],[SKU]],Table2[],3,FALSE)</f>
        <v>Aksesori</v>
      </c>
      <c r="I148" s="37">
        <f>INDEX(Table2[Harga Jual],MATCH(Table1[[#This Row],[SKU]],Table2[SKU],0))</f>
        <v>850000</v>
      </c>
      <c r="J148" s="37">
        <f>VLOOKUP(Table1[[#This Row],[SKU]],Table2[],4,FALSE)</f>
        <v>450000</v>
      </c>
      <c r="K148" s="37">
        <f>INDEX(Table3[Biaya Kirim per Unit],MATCH(Table1[[#This Row],[Kota]],Table3[Kota],))</f>
        <v>50000</v>
      </c>
      <c r="L148" s="39">
        <f>VLOOKUP(Table1[[#This Row],[Kode_Promo]],Table4[],2,FALSE)</f>
        <v>0.3</v>
      </c>
      <c r="M148" s="37">
        <f>Table1[[#This Row],[Jumlah_Unit]]*Table1[[#This Row],[Harga_Satuan]]</f>
        <v>4250000</v>
      </c>
      <c r="N148" s="37">
        <f>Table1[[#This Row],[Total_Pendapatan_Kotor]]*Table1[[#This Row],[Persentase_Diskon]]</f>
        <v>1275000</v>
      </c>
      <c r="O148" s="37">
        <f>Table1[[#This Row],[Total_Pendapatan_Kotor]]-Table1[[#This Row],[Potongan_Diskon]]</f>
        <v>2975000</v>
      </c>
      <c r="P148" s="37">
        <f>(Table1[[#This Row],[Jumlah_Unit]]*Table1[[#This Row],[HPP_Satuan]])+(Table1[[#This Row],[Jumlah_Unit]]*Table1[[#This Row],[Biaya_Kirim_Satuan]])</f>
        <v>2500000</v>
      </c>
      <c r="Q148" s="37">
        <f>Table1[[#This Row],[Total_Pendapatan_Bersih]]-Table1[[#This Row],[Total_Biaya]]</f>
        <v>475000</v>
      </c>
      <c r="R148" s="5">
        <f>Table1[[#This Row],[Laba_Kotor]]/Table1[[#This Row],[Total_Pendapatan_Bersih]]</f>
        <v>0.15966386554621848</v>
      </c>
    </row>
    <row r="149" spans="1:18" ht="20.25" thickBot="1" x14ac:dyDescent="0.6">
      <c r="A149" s="3" t="s">
        <v>178</v>
      </c>
      <c r="B149" s="21">
        <v>45805</v>
      </c>
      <c r="C149" s="1" t="s">
        <v>31</v>
      </c>
      <c r="D149" s="1" t="s">
        <v>35</v>
      </c>
      <c r="E149" s="2">
        <v>1</v>
      </c>
      <c r="F149" s="1" t="s">
        <v>33</v>
      </c>
      <c r="G149" s="1" t="str">
        <f>INDEX(Table2[Nama Produk],MATCH(Table1[[#This Row],[SKU]],Table2[SKU],0))</f>
        <v>Meja Adjustable</v>
      </c>
      <c r="H149" s="1" t="str">
        <f>VLOOKUP(Table1[[#This Row],[SKU]],Table2[],3,FALSE)</f>
        <v>Furnitur</v>
      </c>
      <c r="I149" s="37">
        <f>INDEX(Table2[Harga Jual],MATCH(Table1[[#This Row],[SKU]],Table2[SKU],0))</f>
        <v>4200000</v>
      </c>
      <c r="J149" s="37">
        <f>VLOOKUP(Table1[[#This Row],[SKU]],Table2[],4,FALSE)</f>
        <v>2400000</v>
      </c>
      <c r="K149" s="37">
        <f>INDEX(Table3[Biaya Kirim per Unit],MATCH(Table1[[#This Row],[Kota]],Table3[Kota],))</f>
        <v>65000</v>
      </c>
      <c r="L149" s="39">
        <f>VLOOKUP(Table1[[#This Row],[Kode_Promo]],Table4[],2,FALSE)</f>
        <v>0.2</v>
      </c>
      <c r="M149" s="37">
        <f>Table1[[#This Row],[Jumlah_Unit]]*Table1[[#This Row],[Harga_Satuan]]</f>
        <v>4200000</v>
      </c>
      <c r="N149" s="37">
        <f>Table1[[#This Row],[Total_Pendapatan_Kotor]]*Table1[[#This Row],[Persentase_Diskon]]</f>
        <v>840000</v>
      </c>
      <c r="O149" s="37">
        <f>Table1[[#This Row],[Total_Pendapatan_Kotor]]-Table1[[#This Row],[Potongan_Diskon]]</f>
        <v>3360000</v>
      </c>
      <c r="P149" s="37">
        <f>(Table1[[#This Row],[Jumlah_Unit]]*Table1[[#This Row],[HPP_Satuan]])+(Table1[[#This Row],[Jumlah_Unit]]*Table1[[#This Row],[Biaya_Kirim_Satuan]])</f>
        <v>2465000</v>
      </c>
      <c r="Q149" s="37">
        <f>Table1[[#This Row],[Total_Pendapatan_Bersih]]-Table1[[#This Row],[Total_Biaya]]</f>
        <v>895000</v>
      </c>
      <c r="R149" s="5">
        <f>Table1[[#This Row],[Laba_Kotor]]/Table1[[#This Row],[Total_Pendapatan_Bersih]]</f>
        <v>0.26636904761904762</v>
      </c>
    </row>
    <row r="150" spans="1:18" ht="20.25" thickBot="1" x14ac:dyDescent="0.6">
      <c r="A150" s="3" t="s">
        <v>179</v>
      </c>
      <c r="B150" s="21">
        <v>45806</v>
      </c>
      <c r="C150" s="1" t="s">
        <v>19</v>
      </c>
      <c r="D150" s="1" t="s">
        <v>32</v>
      </c>
      <c r="E150" s="2">
        <v>2</v>
      </c>
      <c r="F150" s="1" t="s">
        <v>21</v>
      </c>
      <c r="G150" s="1" t="str">
        <f>INDEX(Table2[Nama Produk],MATCH(Table1[[#This Row],[SKU]],Table2[SKU],0))</f>
        <v>Monitor Ergonomis 27</v>
      </c>
      <c r="H150" s="1" t="str">
        <f>VLOOKUP(Table1[[#This Row],[SKU]],Table2[],3,FALSE)</f>
        <v>Elektronik</v>
      </c>
      <c r="I150" s="37">
        <f>INDEX(Table2[Harga Jual],MATCH(Table1[[#This Row],[SKU]],Table2[SKU],0))</f>
        <v>3400000</v>
      </c>
      <c r="J150" s="37">
        <f>VLOOKUP(Table1[[#This Row],[SKU]],Table2[],4,FALSE)</f>
        <v>2100000</v>
      </c>
      <c r="K150" s="37">
        <f>INDEX(Table3[Biaya Kirim per Unit],MATCH(Table1[[#This Row],[Kota]],Table3[Kota],))</f>
        <v>25000</v>
      </c>
      <c r="L150" s="39">
        <f>VLOOKUP(Table1[[#This Row],[Kode_Promo]],Table4[],2,FALSE)</f>
        <v>0.1</v>
      </c>
      <c r="M150" s="37">
        <f>Table1[[#This Row],[Jumlah_Unit]]*Table1[[#This Row],[Harga_Satuan]]</f>
        <v>6800000</v>
      </c>
      <c r="N150" s="37">
        <f>Table1[[#This Row],[Total_Pendapatan_Kotor]]*Table1[[#This Row],[Persentase_Diskon]]</f>
        <v>680000</v>
      </c>
      <c r="O150" s="37">
        <f>Table1[[#This Row],[Total_Pendapatan_Kotor]]-Table1[[#This Row],[Potongan_Diskon]]</f>
        <v>6120000</v>
      </c>
      <c r="P150" s="37">
        <f>(Table1[[#This Row],[Jumlah_Unit]]*Table1[[#This Row],[HPP_Satuan]])+(Table1[[#This Row],[Jumlah_Unit]]*Table1[[#This Row],[Biaya_Kirim_Satuan]])</f>
        <v>4250000</v>
      </c>
      <c r="Q150" s="37">
        <f>Table1[[#This Row],[Total_Pendapatan_Bersih]]-Table1[[#This Row],[Total_Biaya]]</f>
        <v>1870000</v>
      </c>
      <c r="R150" s="5">
        <f>Table1[[#This Row],[Laba_Kotor]]/Table1[[#This Row],[Total_Pendapatan_Bersih]]</f>
        <v>0.30555555555555558</v>
      </c>
    </row>
    <row r="151" spans="1:18" ht="20.25" thickBot="1" x14ac:dyDescent="0.6">
      <c r="A151" s="3" t="s">
        <v>180</v>
      </c>
      <c r="B151" s="21">
        <v>45807</v>
      </c>
      <c r="C151" s="1" t="s">
        <v>23</v>
      </c>
      <c r="D151" s="1" t="s">
        <v>28</v>
      </c>
      <c r="E151" s="2">
        <v>4</v>
      </c>
      <c r="F151" s="1" t="s">
        <v>25</v>
      </c>
      <c r="G151" s="1" t="str">
        <f>INDEX(Table2[Nama Produk],MATCH(Table1[[#This Row],[SKU]],Table2[SKU],0))</f>
        <v>Kursi Kerja Ergonomis</v>
      </c>
      <c r="H151" s="1" t="str">
        <f>VLOOKUP(Table1[[#This Row],[SKU]],Table2[],3,FALSE)</f>
        <v>Furnitur</v>
      </c>
      <c r="I151" s="37">
        <f>INDEX(Table2[Harga Jual],MATCH(Table1[[#This Row],[SKU]],Table2[SKU],0))</f>
        <v>2100000</v>
      </c>
      <c r="J151" s="37">
        <f>VLOOKUP(Table1[[#This Row],[SKU]],Table2[],4,FALSE)</f>
        <v>1200000</v>
      </c>
      <c r="K151" s="37">
        <f>INDEX(Table3[Biaya Kirim per Unit],MATCH(Table1[[#This Row],[Kota]],Table3[Kota],))</f>
        <v>35000</v>
      </c>
      <c r="L151" s="39">
        <f>VLOOKUP(Table1[[#This Row],[Kode_Promo]],Table4[],2,FALSE)</f>
        <v>0.3</v>
      </c>
      <c r="M151" s="37">
        <f>Table1[[#This Row],[Jumlah_Unit]]*Table1[[#This Row],[Harga_Satuan]]</f>
        <v>8400000</v>
      </c>
      <c r="N151" s="37">
        <f>Table1[[#This Row],[Total_Pendapatan_Kotor]]*Table1[[#This Row],[Persentase_Diskon]]</f>
        <v>2520000</v>
      </c>
      <c r="O151" s="37">
        <f>Table1[[#This Row],[Total_Pendapatan_Kotor]]-Table1[[#This Row],[Potongan_Diskon]]</f>
        <v>5880000</v>
      </c>
      <c r="P151" s="37">
        <f>(Table1[[#This Row],[Jumlah_Unit]]*Table1[[#This Row],[HPP_Satuan]])+(Table1[[#This Row],[Jumlah_Unit]]*Table1[[#This Row],[Biaya_Kirim_Satuan]])</f>
        <v>4940000</v>
      </c>
      <c r="Q151" s="37">
        <f>Table1[[#This Row],[Total_Pendapatan_Bersih]]-Table1[[#This Row],[Total_Biaya]]</f>
        <v>940000</v>
      </c>
      <c r="R151" s="5">
        <f>Table1[[#This Row],[Laba_Kotor]]/Table1[[#This Row],[Total_Pendapatan_Bersih]]</f>
        <v>0.1598639455782313</v>
      </c>
    </row>
    <row r="152" spans="1:18" ht="20.25" thickBot="1" x14ac:dyDescent="0.6">
      <c r="A152" s="3" t="s">
        <v>181</v>
      </c>
      <c r="B152" s="21">
        <v>45808</v>
      </c>
      <c r="C152" s="1" t="s">
        <v>27</v>
      </c>
      <c r="D152" s="1" t="s">
        <v>20</v>
      </c>
      <c r="E152" s="2">
        <v>1</v>
      </c>
      <c r="F152" s="1" t="s">
        <v>29</v>
      </c>
      <c r="G152" s="1" t="str">
        <f>INDEX(Table2[Nama Produk],MATCH(Table1[[#This Row],[SKU]],Table2[SKU],0))</f>
        <v>Laptop Pro 14</v>
      </c>
      <c r="H152" s="1" t="str">
        <f>VLOOKUP(Table1[[#This Row],[SKU]],Table2[],3,FALSE)</f>
        <v>Elektronik</v>
      </c>
      <c r="I152" s="37">
        <f>INDEX(Table2[Harga Jual],MATCH(Table1[[#This Row],[SKU]],Table2[SKU],0))</f>
        <v>12000000</v>
      </c>
      <c r="J152" s="37">
        <f>VLOOKUP(Table1[[#This Row],[SKU]],Table2[],4,FALSE)</f>
        <v>8500000</v>
      </c>
      <c r="K152" s="37">
        <f>INDEX(Table3[Biaya Kirim per Unit],MATCH(Table1[[#This Row],[Kota]],Table3[Kota],))</f>
        <v>50000</v>
      </c>
      <c r="L152" s="39">
        <f>VLOOKUP(Table1[[#This Row],[Kode_Promo]],Table4[],2,FALSE)</f>
        <v>0</v>
      </c>
      <c r="M152" s="37">
        <f>Table1[[#This Row],[Jumlah_Unit]]*Table1[[#This Row],[Harga_Satuan]]</f>
        <v>12000000</v>
      </c>
      <c r="N152" s="37">
        <f>Table1[[#This Row],[Total_Pendapatan_Kotor]]*Table1[[#This Row],[Persentase_Diskon]]</f>
        <v>0</v>
      </c>
      <c r="O152" s="37">
        <f>Table1[[#This Row],[Total_Pendapatan_Kotor]]-Table1[[#This Row],[Potongan_Diskon]]</f>
        <v>12000000</v>
      </c>
      <c r="P152" s="37">
        <f>(Table1[[#This Row],[Jumlah_Unit]]*Table1[[#This Row],[HPP_Satuan]])+(Table1[[#This Row],[Jumlah_Unit]]*Table1[[#This Row],[Biaya_Kirim_Satuan]])</f>
        <v>8550000</v>
      </c>
      <c r="Q152" s="37">
        <f>Table1[[#This Row],[Total_Pendapatan_Bersih]]-Table1[[#This Row],[Total_Biaya]]</f>
        <v>3450000</v>
      </c>
      <c r="R152" s="5">
        <f>Table1[[#This Row],[Laba_Kotor]]/Table1[[#This Row],[Total_Pendapatan_Bersih]]</f>
        <v>0.28749999999999998</v>
      </c>
    </row>
    <row r="153" spans="1:18" ht="20.25" thickBot="1" x14ac:dyDescent="0.6">
      <c r="A153" s="3" t="s">
        <v>182</v>
      </c>
      <c r="B153" s="21">
        <v>45809</v>
      </c>
      <c r="C153" s="1" t="s">
        <v>31</v>
      </c>
      <c r="D153" s="1" t="s">
        <v>24</v>
      </c>
      <c r="E153" s="2">
        <v>7</v>
      </c>
      <c r="F153" s="1" t="s">
        <v>33</v>
      </c>
      <c r="G153" s="1" t="str">
        <f>INDEX(Table2[Nama Produk],MATCH(Table1[[#This Row],[SKU]],Table2[SKU],0))</f>
        <v>Mechanical Keyboard</v>
      </c>
      <c r="H153" s="1" t="str">
        <f>VLOOKUP(Table1[[#This Row],[SKU]],Table2[],3,FALSE)</f>
        <v>Aksesori</v>
      </c>
      <c r="I153" s="37">
        <f>INDEX(Table2[Harga Jual],MATCH(Table1[[#This Row],[SKU]],Table2[SKU],0))</f>
        <v>850000</v>
      </c>
      <c r="J153" s="37">
        <f>VLOOKUP(Table1[[#This Row],[SKU]],Table2[],4,FALSE)</f>
        <v>450000</v>
      </c>
      <c r="K153" s="37">
        <f>INDEX(Table3[Biaya Kirim per Unit],MATCH(Table1[[#This Row],[Kota]],Table3[Kota],))</f>
        <v>65000</v>
      </c>
      <c r="L153" s="39">
        <f>VLOOKUP(Table1[[#This Row],[Kode_Promo]],Table4[],2,FALSE)</f>
        <v>0.2</v>
      </c>
      <c r="M153" s="37">
        <f>Table1[[#This Row],[Jumlah_Unit]]*Table1[[#This Row],[Harga_Satuan]]</f>
        <v>5950000</v>
      </c>
      <c r="N153" s="37">
        <f>Table1[[#This Row],[Total_Pendapatan_Kotor]]*Table1[[#This Row],[Persentase_Diskon]]</f>
        <v>1190000</v>
      </c>
      <c r="O153" s="37">
        <f>Table1[[#This Row],[Total_Pendapatan_Kotor]]-Table1[[#This Row],[Potongan_Diskon]]</f>
        <v>4760000</v>
      </c>
      <c r="P153" s="37">
        <f>(Table1[[#This Row],[Jumlah_Unit]]*Table1[[#This Row],[HPP_Satuan]])+(Table1[[#This Row],[Jumlah_Unit]]*Table1[[#This Row],[Biaya_Kirim_Satuan]])</f>
        <v>3605000</v>
      </c>
      <c r="Q153" s="37">
        <f>Table1[[#This Row],[Total_Pendapatan_Bersih]]-Table1[[#This Row],[Total_Biaya]]</f>
        <v>1155000</v>
      </c>
      <c r="R153" s="5">
        <f>Table1[[#This Row],[Laba_Kotor]]/Table1[[#This Row],[Total_Pendapatan_Bersih]]</f>
        <v>0.24264705882352941</v>
      </c>
    </row>
    <row r="154" spans="1:18" ht="20.25" thickBot="1" x14ac:dyDescent="0.6">
      <c r="A154" s="3" t="s">
        <v>183</v>
      </c>
      <c r="B154" s="21">
        <v>45810</v>
      </c>
      <c r="C154" s="1" t="s">
        <v>19</v>
      </c>
      <c r="D154" s="1" t="s">
        <v>28</v>
      </c>
      <c r="E154" s="2">
        <v>2</v>
      </c>
      <c r="F154" s="1" t="s">
        <v>21</v>
      </c>
      <c r="G154" s="1" t="str">
        <f>INDEX(Table2[Nama Produk],MATCH(Table1[[#This Row],[SKU]],Table2[SKU],0))</f>
        <v>Kursi Kerja Ergonomis</v>
      </c>
      <c r="H154" s="1" t="str">
        <f>VLOOKUP(Table1[[#This Row],[SKU]],Table2[],3,FALSE)</f>
        <v>Furnitur</v>
      </c>
      <c r="I154" s="37">
        <f>INDEX(Table2[Harga Jual],MATCH(Table1[[#This Row],[SKU]],Table2[SKU],0))</f>
        <v>2100000</v>
      </c>
      <c r="J154" s="37">
        <f>VLOOKUP(Table1[[#This Row],[SKU]],Table2[],4,FALSE)</f>
        <v>1200000</v>
      </c>
      <c r="K154" s="37">
        <f>INDEX(Table3[Biaya Kirim per Unit],MATCH(Table1[[#This Row],[Kota]],Table3[Kota],))</f>
        <v>25000</v>
      </c>
      <c r="L154" s="39">
        <f>VLOOKUP(Table1[[#This Row],[Kode_Promo]],Table4[],2,FALSE)</f>
        <v>0.1</v>
      </c>
      <c r="M154" s="37">
        <f>Table1[[#This Row],[Jumlah_Unit]]*Table1[[#This Row],[Harga_Satuan]]</f>
        <v>4200000</v>
      </c>
      <c r="N154" s="37">
        <f>Table1[[#This Row],[Total_Pendapatan_Kotor]]*Table1[[#This Row],[Persentase_Diskon]]</f>
        <v>420000</v>
      </c>
      <c r="O154" s="37">
        <f>Table1[[#This Row],[Total_Pendapatan_Kotor]]-Table1[[#This Row],[Potongan_Diskon]]</f>
        <v>3780000</v>
      </c>
      <c r="P154" s="37">
        <f>(Table1[[#This Row],[Jumlah_Unit]]*Table1[[#This Row],[HPP_Satuan]])+(Table1[[#This Row],[Jumlah_Unit]]*Table1[[#This Row],[Biaya_Kirim_Satuan]])</f>
        <v>2450000</v>
      </c>
      <c r="Q154" s="37">
        <f>Table1[[#This Row],[Total_Pendapatan_Bersih]]-Table1[[#This Row],[Total_Biaya]]</f>
        <v>1330000</v>
      </c>
      <c r="R154" s="5">
        <f>Table1[[#This Row],[Laba_Kotor]]/Table1[[#This Row],[Total_Pendapatan_Bersih]]</f>
        <v>0.35185185185185186</v>
      </c>
    </row>
    <row r="155" spans="1:18" ht="20.25" thickBot="1" x14ac:dyDescent="0.6">
      <c r="A155" s="3" t="s">
        <v>184</v>
      </c>
      <c r="B155" s="21">
        <v>45811</v>
      </c>
      <c r="C155" s="1" t="s">
        <v>23</v>
      </c>
      <c r="D155" s="1" t="s">
        <v>32</v>
      </c>
      <c r="E155" s="2">
        <v>6</v>
      </c>
      <c r="F155" s="1" t="s">
        <v>25</v>
      </c>
      <c r="G155" s="1" t="str">
        <f>INDEX(Table2[Nama Produk],MATCH(Table1[[#This Row],[SKU]],Table2[SKU],0))</f>
        <v>Monitor Ergonomis 27</v>
      </c>
      <c r="H155" s="1" t="str">
        <f>VLOOKUP(Table1[[#This Row],[SKU]],Table2[],3,FALSE)</f>
        <v>Elektronik</v>
      </c>
      <c r="I155" s="37">
        <f>INDEX(Table2[Harga Jual],MATCH(Table1[[#This Row],[SKU]],Table2[SKU],0))</f>
        <v>3400000</v>
      </c>
      <c r="J155" s="37">
        <f>VLOOKUP(Table1[[#This Row],[SKU]],Table2[],4,FALSE)</f>
        <v>2100000</v>
      </c>
      <c r="K155" s="37">
        <f>INDEX(Table3[Biaya Kirim per Unit],MATCH(Table1[[#This Row],[Kota]],Table3[Kota],))</f>
        <v>35000</v>
      </c>
      <c r="L155" s="39">
        <f>VLOOKUP(Table1[[#This Row],[Kode_Promo]],Table4[],2,FALSE)</f>
        <v>0.3</v>
      </c>
      <c r="M155" s="37">
        <f>Table1[[#This Row],[Jumlah_Unit]]*Table1[[#This Row],[Harga_Satuan]]</f>
        <v>20400000</v>
      </c>
      <c r="N155" s="37">
        <f>Table1[[#This Row],[Total_Pendapatan_Kotor]]*Table1[[#This Row],[Persentase_Diskon]]</f>
        <v>6120000</v>
      </c>
      <c r="O155" s="37">
        <f>Table1[[#This Row],[Total_Pendapatan_Kotor]]-Table1[[#This Row],[Potongan_Diskon]]</f>
        <v>14280000</v>
      </c>
      <c r="P155" s="37">
        <f>(Table1[[#This Row],[Jumlah_Unit]]*Table1[[#This Row],[HPP_Satuan]])+(Table1[[#This Row],[Jumlah_Unit]]*Table1[[#This Row],[Biaya_Kirim_Satuan]])</f>
        <v>12810000</v>
      </c>
      <c r="Q155" s="37">
        <f>Table1[[#This Row],[Total_Pendapatan_Bersih]]-Table1[[#This Row],[Total_Biaya]]</f>
        <v>1470000</v>
      </c>
      <c r="R155" s="5">
        <f>Table1[[#This Row],[Laba_Kotor]]/Table1[[#This Row],[Total_Pendapatan_Bersih]]</f>
        <v>0.10294117647058823</v>
      </c>
    </row>
    <row r="156" spans="1:18" ht="20.25" thickBot="1" x14ac:dyDescent="0.6">
      <c r="A156" s="3" t="s">
        <v>185</v>
      </c>
      <c r="B156" s="21">
        <v>45812</v>
      </c>
      <c r="C156" s="1" t="s">
        <v>27</v>
      </c>
      <c r="D156" s="1" t="s">
        <v>35</v>
      </c>
      <c r="E156" s="2">
        <v>3</v>
      </c>
      <c r="F156" s="1" t="s">
        <v>29</v>
      </c>
      <c r="G156" s="1" t="str">
        <f>INDEX(Table2[Nama Produk],MATCH(Table1[[#This Row],[SKU]],Table2[SKU],0))</f>
        <v>Meja Adjustable</v>
      </c>
      <c r="H156" s="1" t="str">
        <f>VLOOKUP(Table1[[#This Row],[SKU]],Table2[],3,FALSE)</f>
        <v>Furnitur</v>
      </c>
      <c r="I156" s="37">
        <f>INDEX(Table2[Harga Jual],MATCH(Table1[[#This Row],[SKU]],Table2[SKU],0))</f>
        <v>4200000</v>
      </c>
      <c r="J156" s="37">
        <f>VLOOKUP(Table1[[#This Row],[SKU]],Table2[],4,FALSE)</f>
        <v>2400000</v>
      </c>
      <c r="K156" s="37">
        <f>INDEX(Table3[Biaya Kirim per Unit],MATCH(Table1[[#This Row],[Kota]],Table3[Kota],))</f>
        <v>50000</v>
      </c>
      <c r="L156" s="39">
        <f>VLOOKUP(Table1[[#This Row],[Kode_Promo]],Table4[],2,FALSE)</f>
        <v>0</v>
      </c>
      <c r="M156" s="37">
        <f>Table1[[#This Row],[Jumlah_Unit]]*Table1[[#This Row],[Harga_Satuan]]</f>
        <v>12600000</v>
      </c>
      <c r="N156" s="37">
        <f>Table1[[#This Row],[Total_Pendapatan_Kotor]]*Table1[[#This Row],[Persentase_Diskon]]</f>
        <v>0</v>
      </c>
      <c r="O156" s="37">
        <f>Table1[[#This Row],[Total_Pendapatan_Kotor]]-Table1[[#This Row],[Potongan_Diskon]]</f>
        <v>12600000</v>
      </c>
      <c r="P156" s="37">
        <f>(Table1[[#This Row],[Jumlah_Unit]]*Table1[[#This Row],[HPP_Satuan]])+(Table1[[#This Row],[Jumlah_Unit]]*Table1[[#This Row],[Biaya_Kirim_Satuan]])</f>
        <v>7350000</v>
      </c>
      <c r="Q156" s="37">
        <f>Table1[[#This Row],[Total_Pendapatan_Bersih]]-Table1[[#This Row],[Total_Biaya]]</f>
        <v>5250000</v>
      </c>
      <c r="R156" s="5">
        <f>Table1[[#This Row],[Laba_Kotor]]/Table1[[#This Row],[Total_Pendapatan_Bersih]]</f>
        <v>0.41666666666666669</v>
      </c>
    </row>
    <row r="157" spans="1:18" ht="20.25" thickBot="1" x14ac:dyDescent="0.6">
      <c r="A157" s="3" t="s">
        <v>186</v>
      </c>
      <c r="B157" s="21">
        <v>45813</v>
      </c>
      <c r="C157" s="1" t="s">
        <v>31</v>
      </c>
      <c r="D157" s="1" t="s">
        <v>20</v>
      </c>
      <c r="E157" s="2">
        <v>1</v>
      </c>
      <c r="F157" s="1" t="s">
        <v>33</v>
      </c>
      <c r="G157" s="1" t="str">
        <f>INDEX(Table2[Nama Produk],MATCH(Table1[[#This Row],[SKU]],Table2[SKU],0))</f>
        <v>Laptop Pro 14</v>
      </c>
      <c r="H157" s="1" t="str">
        <f>VLOOKUP(Table1[[#This Row],[SKU]],Table2[],3,FALSE)</f>
        <v>Elektronik</v>
      </c>
      <c r="I157" s="37">
        <f>INDEX(Table2[Harga Jual],MATCH(Table1[[#This Row],[SKU]],Table2[SKU],0))</f>
        <v>12000000</v>
      </c>
      <c r="J157" s="37">
        <f>VLOOKUP(Table1[[#This Row],[SKU]],Table2[],4,FALSE)</f>
        <v>8500000</v>
      </c>
      <c r="K157" s="37">
        <f>INDEX(Table3[Biaya Kirim per Unit],MATCH(Table1[[#This Row],[Kota]],Table3[Kota],))</f>
        <v>65000</v>
      </c>
      <c r="L157" s="39">
        <f>VLOOKUP(Table1[[#This Row],[Kode_Promo]],Table4[],2,FALSE)</f>
        <v>0.2</v>
      </c>
      <c r="M157" s="37">
        <f>Table1[[#This Row],[Jumlah_Unit]]*Table1[[#This Row],[Harga_Satuan]]</f>
        <v>12000000</v>
      </c>
      <c r="N157" s="37">
        <f>Table1[[#This Row],[Total_Pendapatan_Kotor]]*Table1[[#This Row],[Persentase_Diskon]]</f>
        <v>2400000</v>
      </c>
      <c r="O157" s="37">
        <f>Table1[[#This Row],[Total_Pendapatan_Kotor]]-Table1[[#This Row],[Potongan_Diskon]]</f>
        <v>9600000</v>
      </c>
      <c r="P157" s="37">
        <f>(Table1[[#This Row],[Jumlah_Unit]]*Table1[[#This Row],[HPP_Satuan]])+(Table1[[#This Row],[Jumlah_Unit]]*Table1[[#This Row],[Biaya_Kirim_Satuan]])</f>
        <v>8565000</v>
      </c>
      <c r="Q157" s="37">
        <f>Table1[[#This Row],[Total_Pendapatan_Bersih]]-Table1[[#This Row],[Total_Biaya]]</f>
        <v>1035000</v>
      </c>
      <c r="R157" s="5">
        <f>Table1[[#This Row],[Laba_Kotor]]/Table1[[#This Row],[Total_Pendapatan_Bersih]]</f>
        <v>0.10781250000000001</v>
      </c>
    </row>
    <row r="158" spans="1:18" ht="20.25" thickBot="1" x14ac:dyDescent="0.6">
      <c r="A158" s="3" t="s">
        <v>187</v>
      </c>
      <c r="B158" s="21">
        <v>45814</v>
      </c>
      <c r="C158" s="1" t="s">
        <v>19</v>
      </c>
      <c r="D158" s="1" t="s">
        <v>24</v>
      </c>
      <c r="E158" s="2">
        <v>4</v>
      </c>
      <c r="F158" s="1" t="s">
        <v>21</v>
      </c>
      <c r="G158" s="1" t="str">
        <f>INDEX(Table2[Nama Produk],MATCH(Table1[[#This Row],[SKU]],Table2[SKU],0))</f>
        <v>Mechanical Keyboard</v>
      </c>
      <c r="H158" s="1" t="str">
        <f>VLOOKUP(Table1[[#This Row],[SKU]],Table2[],3,FALSE)</f>
        <v>Aksesori</v>
      </c>
      <c r="I158" s="37">
        <f>INDEX(Table2[Harga Jual],MATCH(Table1[[#This Row],[SKU]],Table2[SKU],0))</f>
        <v>850000</v>
      </c>
      <c r="J158" s="37">
        <f>VLOOKUP(Table1[[#This Row],[SKU]],Table2[],4,FALSE)</f>
        <v>450000</v>
      </c>
      <c r="K158" s="37">
        <f>INDEX(Table3[Biaya Kirim per Unit],MATCH(Table1[[#This Row],[Kota]],Table3[Kota],))</f>
        <v>25000</v>
      </c>
      <c r="L158" s="39">
        <f>VLOOKUP(Table1[[#This Row],[Kode_Promo]],Table4[],2,FALSE)</f>
        <v>0.1</v>
      </c>
      <c r="M158" s="37">
        <f>Table1[[#This Row],[Jumlah_Unit]]*Table1[[#This Row],[Harga_Satuan]]</f>
        <v>3400000</v>
      </c>
      <c r="N158" s="37">
        <f>Table1[[#This Row],[Total_Pendapatan_Kotor]]*Table1[[#This Row],[Persentase_Diskon]]</f>
        <v>340000</v>
      </c>
      <c r="O158" s="37">
        <f>Table1[[#This Row],[Total_Pendapatan_Kotor]]-Table1[[#This Row],[Potongan_Diskon]]</f>
        <v>3060000</v>
      </c>
      <c r="P158" s="37">
        <f>(Table1[[#This Row],[Jumlah_Unit]]*Table1[[#This Row],[HPP_Satuan]])+(Table1[[#This Row],[Jumlah_Unit]]*Table1[[#This Row],[Biaya_Kirim_Satuan]])</f>
        <v>1900000</v>
      </c>
      <c r="Q158" s="37">
        <f>Table1[[#This Row],[Total_Pendapatan_Bersih]]-Table1[[#This Row],[Total_Biaya]]</f>
        <v>1160000</v>
      </c>
      <c r="R158" s="5">
        <f>Table1[[#This Row],[Laba_Kotor]]/Table1[[#This Row],[Total_Pendapatan_Bersih]]</f>
        <v>0.37908496732026142</v>
      </c>
    </row>
    <row r="159" spans="1:18" ht="20.25" thickBot="1" x14ac:dyDescent="0.6">
      <c r="A159" s="3" t="s">
        <v>188</v>
      </c>
      <c r="B159" s="21">
        <v>45815</v>
      </c>
      <c r="C159" s="1" t="s">
        <v>23</v>
      </c>
      <c r="D159" s="1" t="s">
        <v>35</v>
      </c>
      <c r="E159" s="2">
        <v>2</v>
      </c>
      <c r="F159" s="1" t="s">
        <v>25</v>
      </c>
      <c r="G159" s="1" t="str">
        <f>INDEX(Table2[Nama Produk],MATCH(Table1[[#This Row],[SKU]],Table2[SKU],0))</f>
        <v>Meja Adjustable</v>
      </c>
      <c r="H159" s="1" t="str">
        <f>VLOOKUP(Table1[[#This Row],[SKU]],Table2[],3,FALSE)</f>
        <v>Furnitur</v>
      </c>
      <c r="I159" s="37">
        <f>INDEX(Table2[Harga Jual],MATCH(Table1[[#This Row],[SKU]],Table2[SKU],0))</f>
        <v>4200000</v>
      </c>
      <c r="J159" s="37">
        <f>VLOOKUP(Table1[[#This Row],[SKU]],Table2[],4,FALSE)</f>
        <v>2400000</v>
      </c>
      <c r="K159" s="37">
        <f>INDEX(Table3[Biaya Kirim per Unit],MATCH(Table1[[#This Row],[Kota]],Table3[Kota],))</f>
        <v>35000</v>
      </c>
      <c r="L159" s="39">
        <f>VLOOKUP(Table1[[#This Row],[Kode_Promo]],Table4[],2,FALSE)</f>
        <v>0.3</v>
      </c>
      <c r="M159" s="37">
        <f>Table1[[#This Row],[Jumlah_Unit]]*Table1[[#This Row],[Harga_Satuan]]</f>
        <v>8400000</v>
      </c>
      <c r="N159" s="37">
        <f>Table1[[#This Row],[Total_Pendapatan_Kotor]]*Table1[[#This Row],[Persentase_Diskon]]</f>
        <v>2520000</v>
      </c>
      <c r="O159" s="37">
        <f>Table1[[#This Row],[Total_Pendapatan_Kotor]]-Table1[[#This Row],[Potongan_Diskon]]</f>
        <v>5880000</v>
      </c>
      <c r="P159" s="37">
        <f>(Table1[[#This Row],[Jumlah_Unit]]*Table1[[#This Row],[HPP_Satuan]])+(Table1[[#This Row],[Jumlah_Unit]]*Table1[[#This Row],[Biaya_Kirim_Satuan]])</f>
        <v>4870000</v>
      </c>
      <c r="Q159" s="37">
        <f>Table1[[#This Row],[Total_Pendapatan_Bersih]]-Table1[[#This Row],[Total_Biaya]]</f>
        <v>1010000</v>
      </c>
      <c r="R159" s="5">
        <f>Table1[[#This Row],[Laba_Kotor]]/Table1[[#This Row],[Total_Pendapatan_Bersih]]</f>
        <v>0.17176870748299319</v>
      </c>
    </row>
    <row r="160" spans="1:18" ht="20.25" thickBot="1" x14ac:dyDescent="0.6">
      <c r="A160" s="3" t="s">
        <v>189</v>
      </c>
      <c r="B160" s="21">
        <v>45816</v>
      </c>
      <c r="C160" s="1" t="s">
        <v>27</v>
      </c>
      <c r="D160" s="1" t="s">
        <v>32</v>
      </c>
      <c r="E160" s="2">
        <v>5</v>
      </c>
      <c r="F160" s="1" t="s">
        <v>29</v>
      </c>
      <c r="G160" s="1" t="str">
        <f>INDEX(Table2[Nama Produk],MATCH(Table1[[#This Row],[SKU]],Table2[SKU],0))</f>
        <v>Monitor Ergonomis 27</v>
      </c>
      <c r="H160" s="1" t="str">
        <f>VLOOKUP(Table1[[#This Row],[SKU]],Table2[],3,FALSE)</f>
        <v>Elektronik</v>
      </c>
      <c r="I160" s="37">
        <f>INDEX(Table2[Harga Jual],MATCH(Table1[[#This Row],[SKU]],Table2[SKU],0))</f>
        <v>3400000</v>
      </c>
      <c r="J160" s="37">
        <f>VLOOKUP(Table1[[#This Row],[SKU]],Table2[],4,FALSE)</f>
        <v>2100000</v>
      </c>
      <c r="K160" s="37">
        <f>INDEX(Table3[Biaya Kirim per Unit],MATCH(Table1[[#This Row],[Kota]],Table3[Kota],))</f>
        <v>50000</v>
      </c>
      <c r="L160" s="39">
        <f>VLOOKUP(Table1[[#This Row],[Kode_Promo]],Table4[],2,FALSE)</f>
        <v>0</v>
      </c>
      <c r="M160" s="37">
        <f>Table1[[#This Row],[Jumlah_Unit]]*Table1[[#This Row],[Harga_Satuan]]</f>
        <v>17000000</v>
      </c>
      <c r="N160" s="37">
        <f>Table1[[#This Row],[Total_Pendapatan_Kotor]]*Table1[[#This Row],[Persentase_Diskon]]</f>
        <v>0</v>
      </c>
      <c r="O160" s="37">
        <f>Table1[[#This Row],[Total_Pendapatan_Kotor]]-Table1[[#This Row],[Potongan_Diskon]]</f>
        <v>17000000</v>
      </c>
      <c r="P160" s="37">
        <f>(Table1[[#This Row],[Jumlah_Unit]]*Table1[[#This Row],[HPP_Satuan]])+(Table1[[#This Row],[Jumlah_Unit]]*Table1[[#This Row],[Biaya_Kirim_Satuan]])</f>
        <v>10750000</v>
      </c>
      <c r="Q160" s="37">
        <f>Table1[[#This Row],[Total_Pendapatan_Bersih]]-Table1[[#This Row],[Total_Biaya]]</f>
        <v>6250000</v>
      </c>
      <c r="R160" s="5">
        <f>Table1[[#This Row],[Laba_Kotor]]/Table1[[#This Row],[Total_Pendapatan_Bersih]]</f>
        <v>0.36764705882352944</v>
      </c>
    </row>
    <row r="161" spans="1:18" ht="20.25" thickBot="1" x14ac:dyDescent="0.6">
      <c r="A161" s="3" t="s">
        <v>190</v>
      </c>
      <c r="B161" s="21">
        <v>45817</v>
      </c>
      <c r="C161" s="1" t="s">
        <v>31</v>
      </c>
      <c r="D161" s="1" t="s">
        <v>28</v>
      </c>
      <c r="E161" s="2">
        <v>3</v>
      </c>
      <c r="F161" s="1" t="s">
        <v>33</v>
      </c>
      <c r="G161" s="1" t="str">
        <f>INDEX(Table2[Nama Produk],MATCH(Table1[[#This Row],[SKU]],Table2[SKU],0))</f>
        <v>Kursi Kerja Ergonomis</v>
      </c>
      <c r="H161" s="1" t="str">
        <f>VLOOKUP(Table1[[#This Row],[SKU]],Table2[],3,FALSE)</f>
        <v>Furnitur</v>
      </c>
      <c r="I161" s="37">
        <f>INDEX(Table2[Harga Jual],MATCH(Table1[[#This Row],[SKU]],Table2[SKU],0))</f>
        <v>2100000</v>
      </c>
      <c r="J161" s="37">
        <f>VLOOKUP(Table1[[#This Row],[SKU]],Table2[],4,FALSE)</f>
        <v>1200000</v>
      </c>
      <c r="K161" s="37">
        <f>INDEX(Table3[Biaya Kirim per Unit],MATCH(Table1[[#This Row],[Kota]],Table3[Kota],))</f>
        <v>65000</v>
      </c>
      <c r="L161" s="39">
        <f>VLOOKUP(Table1[[#This Row],[Kode_Promo]],Table4[],2,FALSE)</f>
        <v>0.2</v>
      </c>
      <c r="M161" s="37">
        <f>Table1[[#This Row],[Jumlah_Unit]]*Table1[[#This Row],[Harga_Satuan]]</f>
        <v>6300000</v>
      </c>
      <c r="N161" s="37">
        <f>Table1[[#This Row],[Total_Pendapatan_Kotor]]*Table1[[#This Row],[Persentase_Diskon]]</f>
        <v>1260000</v>
      </c>
      <c r="O161" s="37">
        <f>Table1[[#This Row],[Total_Pendapatan_Kotor]]-Table1[[#This Row],[Potongan_Diskon]]</f>
        <v>5040000</v>
      </c>
      <c r="P161" s="37">
        <f>(Table1[[#This Row],[Jumlah_Unit]]*Table1[[#This Row],[HPP_Satuan]])+(Table1[[#This Row],[Jumlah_Unit]]*Table1[[#This Row],[Biaya_Kirim_Satuan]])</f>
        <v>3795000</v>
      </c>
      <c r="Q161" s="37">
        <f>Table1[[#This Row],[Total_Pendapatan_Bersih]]-Table1[[#This Row],[Total_Biaya]]</f>
        <v>1245000</v>
      </c>
      <c r="R161" s="5">
        <f>Table1[[#This Row],[Laba_Kotor]]/Table1[[#This Row],[Total_Pendapatan_Bersih]]</f>
        <v>0.24702380952380953</v>
      </c>
    </row>
    <row r="162" spans="1:18" ht="20.25" thickBot="1" x14ac:dyDescent="0.6">
      <c r="A162" s="3" t="s">
        <v>191</v>
      </c>
      <c r="B162" s="21">
        <v>45818</v>
      </c>
      <c r="C162" s="1" t="s">
        <v>19</v>
      </c>
      <c r="D162" s="1" t="s">
        <v>20</v>
      </c>
      <c r="E162" s="2">
        <v>2</v>
      </c>
      <c r="F162" s="1" t="s">
        <v>21</v>
      </c>
      <c r="G162" s="1" t="str">
        <f>INDEX(Table2[Nama Produk],MATCH(Table1[[#This Row],[SKU]],Table2[SKU],0))</f>
        <v>Laptop Pro 14</v>
      </c>
      <c r="H162" s="1" t="str">
        <f>VLOOKUP(Table1[[#This Row],[SKU]],Table2[],3,FALSE)</f>
        <v>Elektronik</v>
      </c>
      <c r="I162" s="37">
        <f>INDEX(Table2[Harga Jual],MATCH(Table1[[#This Row],[SKU]],Table2[SKU],0))</f>
        <v>12000000</v>
      </c>
      <c r="J162" s="37">
        <f>VLOOKUP(Table1[[#This Row],[SKU]],Table2[],4,FALSE)</f>
        <v>8500000</v>
      </c>
      <c r="K162" s="37">
        <f>INDEX(Table3[Biaya Kirim per Unit],MATCH(Table1[[#This Row],[Kota]],Table3[Kota],))</f>
        <v>25000</v>
      </c>
      <c r="L162" s="39">
        <f>VLOOKUP(Table1[[#This Row],[Kode_Promo]],Table4[],2,FALSE)</f>
        <v>0.1</v>
      </c>
      <c r="M162" s="37">
        <f>Table1[[#This Row],[Jumlah_Unit]]*Table1[[#This Row],[Harga_Satuan]]</f>
        <v>24000000</v>
      </c>
      <c r="N162" s="37">
        <f>Table1[[#This Row],[Total_Pendapatan_Kotor]]*Table1[[#This Row],[Persentase_Diskon]]</f>
        <v>2400000</v>
      </c>
      <c r="O162" s="37">
        <f>Table1[[#This Row],[Total_Pendapatan_Kotor]]-Table1[[#This Row],[Potongan_Diskon]]</f>
        <v>21600000</v>
      </c>
      <c r="P162" s="37">
        <f>(Table1[[#This Row],[Jumlah_Unit]]*Table1[[#This Row],[HPP_Satuan]])+(Table1[[#This Row],[Jumlah_Unit]]*Table1[[#This Row],[Biaya_Kirim_Satuan]])</f>
        <v>17050000</v>
      </c>
      <c r="Q162" s="37">
        <f>Table1[[#This Row],[Total_Pendapatan_Bersih]]-Table1[[#This Row],[Total_Biaya]]</f>
        <v>4550000</v>
      </c>
      <c r="R162" s="5">
        <f>Table1[[#This Row],[Laba_Kotor]]/Table1[[#This Row],[Total_Pendapatan_Bersih]]</f>
        <v>0.21064814814814814</v>
      </c>
    </row>
    <row r="163" spans="1:18" ht="20.25" thickBot="1" x14ac:dyDescent="0.6">
      <c r="A163" s="3" t="s">
        <v>192</v>
      </c>
      <c r="B163" s="21">
        <v>45819</v>
      </c>
      <c r="C163" s="1" t="s">
        <v>23</v>
      </c>
      <c r="D163" s="1" t="s">
        <v>24</v>
      </c>
      <c r="E163" s="2">
        <v>6</v>
      </c>
      <c r="F163" s="1" t="s">
        <v>25</v>
      </c>
      <c r="G163" s="1" t="str">
        <f>INDEX(Table2[Nama Produk],MATCH(Table1[[#This Row],[SKU]],Table2[SKU],0))</f>
        <v>Mechanical Keyboard</v>
      </c>
      <c r="H163" s="1" t="str">
        <f>VLOOKUP(Table1[[#This Row],[SKU]],Table2[],3,FALSE)</f>
        <v>Aksesori</v>
      </c>
      <c r="I163" s="37">
        <f>INDEX(Table2[Harga Jual],MATCH(Table1[[#This Row],[SKU]],Table2[SKU],0))</f>
        <v>850000</v>
      </c>
      <c r="J163" s="37">
        <f>VLOOKUP(Table1[[#This Row],[SKU]],Table2[],4,FALSE)</f>
        <v>450000</v>
      </c>
      <c r="K163" s="37">
        <f>INDEX(Table3[Biaya Kirim per Unit],MATCH(Table1[[#This Row],[Kota]],Table3[Kota],))</f>
        <v>35000</v>
      </c>
      <c r="L163" s="39">
        <f>VLOOKUP(Table1[[#This Row],[Kode_Promo]],Table4[],2,FALSE)</f>
        <v>0.3</v>
      </c>
      <c r="M163" s="37">
        <f>Table1[[#This Row],[Jumlah_Unit]]*Table1[[#This Row],[Harga_Satuan]]</f>
        <v>5100000</v>
      </c>
      <c r="N163" s="37">
        <f>Table1[[#This Row],[Total_Pendapatan_Kotor]]*Table1[[#This Row],[Persentase_Diskon]]</f>
        <v>1530000</v>
      </c>
      <c r="O163" s="37">
        <f>Table1[[#This Row],[Total_Pendapatan_Kotor]]-Table1[[#This Row],[Potongan_Diskon]]</f>
        <v>3570000</v>
      </c>
      <c r="P163" s="37">
        <f>(Table1[[#This Row],[Jumlah_Unit]]*Table1[[#This Row],[HPP_Satuan]])+(Table1[[#This Row],[Jumlah_Unit]]*Table1[[#This Row],[Biaya_Kirim_Satuan]])</f>
        <v>2910000</v>
      </c>
      <c r="Q163" s="37">
        <f>Table1[[#This Row],[Total_Pendapatan_Bersih]]-Table1[[#This Row],[Total_Biaya]]</f>
        <v>660000</v>
      </c>
      <c r="R163" s="5">
        <f>Table1[[#This Row],[Laba_Kotor]]/Table1[[#This Row],[Total_Pendapatan_Bersih]]</f>
        <v>0.18487394957983194</v>
      </c>
    </row>
    <row r="164" spans="1:18" ht="20.25" thickBot="1" x14ac:dyDescent="0.6">
      <c r="A164" s="3" t="s">
        <v>193</v>
      </c>
      <c r="B164" s="21">
        <v>45820</v>
      </c>
      <c r="C164" s="1" t="s">
        <v>27</v>
      </c>
      <c r="D164" s="1" t="s">
        <v>28</v>
      </c>
      <c r="E164" s="2">
        <v>2</v>
      </c>
      <c r="F164" s="1" t="s">
        <v>29</v>
      </c>
      <c r="G164" s="1" t="str">
        <f>INDEX(Table2[Nama Produk],MATCH(Table1[[#This Row],[SKU]],Table2[SKU],0))</f>
        <v>Kursi Kerja Ergonomis</v>
      </c>
      <c r="H164" s="1" t="str">
        <f>VLOOKUP(Table1[[#This Row],[SKU]],Table2[],3,FALSE)</f>
        <v>Furnitur</v>
      </c>
      <c r="I164" s="37">
        <f>INDEX(Table2[Harga Jual],MATCH(Table1[[#This Row],[SKU]],Table2[SKU],0))</f>
        <v>2100000</v>
      </c>
      <c r="J164" s="37">
        <f>VLOOKUP(Table1[[#This Row],[SKU]],Table2[],4,FALSE)</f>
        <v>1200000</v>
      </c>
      <c r="K164" s="37">
        <f>INDEX(Table3[Biaya Kirim per Unit],MATCH(Table1[[#This Row],[Kota]],Table3[Kota],))</f>
        <v>50000</v>
      </c>
      <c r="L164" s="39">
        <f>VLOOKUP(Table1[[#This Row],[Kode_Promo]],Table4[],2,FALSE)</f>
        <v>0</v>
      </c>
      <c r="M164" s="37">
        <f>Table1[[#This Row],[Jumlah_Unit]]*Table1[[#This Row],[Harga_Satuan]]</f>
        <v>4200000</v>
      </c>
      <c r="N164" s="37">
        <f>Table1[[#This Row],[Total_Pendapatan_Kotor]]*Table1[[#This Row],[Persentase_Diskon]]</f>
        <v>0</v>
      </c>
      <c r="O164" s="37">
        <f>Table1[[#This Row],[Total_Pendapatan_Kotor]]-Table1[[#This Row],[Potongan_Diskon]]</f>
        <v>4200000</v>
      </c>
      <c r="P164" s="37">
        <f>(Table1[[#This Row],[Jumlah_Unit]]*Table1[[#This Row],[HPP_Satuan]])+(Table1[[#This Row],[Jumlah_Unit]]*Table1[[#This Row],[Biaya_Kirim_Satuan]])</f>
        <v>2500000</v>
      </c>
      <c r="Q164" s="37">
        <f>Table1[[#This Row],[Total_Pendapatan_Bersih]]-Table1[[#This Row],[Total_Biaya]]</f>
        <v>1700000</v>
      </c>
      <c r="R164" s="5">
        <f>Table1[[#This Row],[Laba_Kotor]]/Table1[[#This Row],[Total_Pendapatan_Bersih]]</f>
        <v>0.40476190476190477</v>
      </c>
    </row>
    <row r="165" spans="1:18" ht="20.25" thickBot="1" x14ac:dyDescent="0.6">
      <c r="A165" s="3" t="s">
        <v>194</v>
      </c>
      <c r="B165" s="21">
        <v>45821</v>
      </c>
      <c r="C165" s="1" t="s">
        <v>31</v>
      </c>
      <c r="D165" s="1" t="s">
        <v>32</v>
      </c>
      <c r="E165" s="2">
        <v>3</v>
      </c>
      <c r="F165" s="1" t="s">
        <v>33</v>
      </c>
      <c r="G165" s="1" t="str">
        <f>INDEX(Table2[Nama Produk],MATCH(Table1[[#This Row],[SKU]],Table2[SKU],0))</f>
        <v>Monitor Ergonomis 27</v>
      </c>
      <c r="H165" s="1" t="str">
        <f>VLOOKUP(Table1[[#This Row],[SKU]],Table2[],3,FALSE)</f>
        <v>Elektronik</v>
      </c>
      <c r="I165" s="37">
        <f>INDEX(Table2[Harga Jual],MATCH(Table1[[#This Row],[SKU]],Table2[SKU],0))</f>
        <v>3400000</v>
      </c>
      <c r="J165" s="37">
        <f>VLOOKUP(Table1[[#This Row],[SKU]],Table2[],4,FALSE)</f>
        <v>2100000</v>
      </c>
      <c r="K165" s="37">
        <f>INDEX(Table3[Biaya Kirim per Unit],MATCH(Table1[[#This Row],[Kota]],Table3[Kota],))</f>
        <v>65000</v>
      </c>
      <c r="L165" s="39">
        <f>VLOOKUP(Table1[[#This Row],[Kode_Promo]],Table4[],2,FALSE)</f>
        <v>0.2</v>
      </c>
      <c r="M165" s="37">
        <f>Table1[[#This Row],[Jumlah_Unit]]*Table1[[#This Row],[Harga_Satuan]]</f>
        <v>10200000</v>
      </c>
      <c r="N165" s="37">
        <f>Table1[[#This Row],[Total_Pendapatan_Kotor]]*Table1[[#This Row],[Persentase_Diskon]]</f>
        <v>2040000</v>
      </c>
      <c r="O165" s="37">
        <f>Table1[[#This Row],[Total_Pendapatan_Kotor]]-Table1[[#This Row],[Potongan_Diskon]]</f>
        <v>8160000</v>
      </c>
      <c r="P165" s="37">
        <f>(Table1[[#This Row],[Jumlah_Unit]]*Table1[[#This Row],[HPP_Satuan]])+(Table1[[#This Row],[Jumlah_Unit]]*Table1[[#This Row],[Biaya_Kirim_Satuan]])</f>
        <v>6495000</v>
      </c>
      <c r="Q165" s="37">
        <f>Table1[[#This Row],[Total_Pendapatan_Bersih]]-Table1[[#This Row],[Total_Biaya]]</f>
        <v>1665000</v>
      </c>
      <c r="R165" s="5">
        <f>Table1[[#This Row],[Laba_Kotor]]/Table1[[#This Row],[Total_Pendapatan_Bersih]]</f>
        <v>0.20404411764705882</v>
      </c>
    </row>
    <row r="166" spans="1:18" ht="20.25" thickBot="1" x14ac:dyDescent="0.6">
      <c r="A166" s="3" t="s">
        <v>195</v>
      </c>
      <c r="B166" s="21">
        <v>45822</v>
      </c>
      <c r="C166" s="1" t="s">
        <v>19</v>
      </c>
      <c r="D166" s="1" t="s">
        <v>35</v>
      </c>
      <c r="E166" s="2">
        <v>1</v>
      </c>
      <c r="F166" s="1" t="s">
        <v>21</v>
      </c>
      <c r="G166" s="1" t="str">
        <f>INDEX(Table2[Nama Produk],MATCH(Table1[[#This Row],[SKU]],Table2[SKU],0))</f>
        <v>Meja Adjustable</v>
      </c>
      <c r="H166" s="1" t="str">
        <f>VLOOKUP(Table1[[#This Row],[SKU]],Table2[],3,FALSE)</f>
        <v>Furnitur</v>
      </c>
      <c r="I166" s="37">
        <f>INDEX(Table2[Harga Jual],MATCH(Table1[[#This Row],[SKU]],Table2[SKU],0))</f>
        <v>4200000</v>
      </c>
      <c r="J166" s="37">
        <f>VLOOKUP(Table1[[#This Row],[SKU]],Table2[],4,FALSE)</f>
        <v>2400000</v>
      </c>
      <c r="K166" s="37">
        <f>INDEX(Table3[Biaya Kirim per Unit],MATCH(Table1[[#This Row],[Kota]],Table3[Kota],))</f>
        <v>25000</v>
      </c>
      <c r="L166" s="39">
        <f>VLOOKUP(Table1[[#This Row],[Kode_Promo]],Table4[],2,FALSE)</f>
        <v>0.1</v>
      </c>
      <c r="M166" s="37">
        <f>Table1[[#This Row],[Jumlah_Unit]]*Table1[[#This Row],[Harga_Satuan]]</f>
        <v>4200000</v>
      </c>
      <c r="N166" s="37">
        <f>Table1[[#This Row],[Total_Pendapatan_Kotor]]*Table1[[#This Row],[Persentase_Diskon]]</f>
        <v>420000</v>
      </c>
      <c r="O166" s="37">
        <f>Table1[[#This Row],[Total_Pendapatan_Kotor]]-Table1[[#This Row],[Potongan_Diskon]]</f>
        <v>3780000</v>
      </c>
      <c r="P166" s="37">
        <f>(Table1[[#This Row],[Jumlah_Unit]]*Table1[[#This Row],[HPP_Satuan]])+(Table1[[#This Row],[Jumlah_Unit]]*Table1[[#This Row],[Biaya_Kirim_Satuan]])</f>
        <v>2425000</v>
      </c>
      <c r="Q166" s="37">
        <f>Table1[[#This Row],[Total_Pendapatan_Bersih]]-Table1[[#This Row],[Total_Biaya]]</f>
        <v>1355000</v>
      </c>
      <c r="R166" s="5">
        <f>Table1[[#This Row],[Laba_Kotor]]/Table1[[#This Row],[Total_Pendapatan_Bersih]]</f>
        <v>0.35846560846560849</v>
      </c>
    </row>
    <row r="167" spans="1:18" ht="20.25" thickBot="1" x14ac:dyDescent="0.6">
      <c r="A167" s="3" t="s">
        <v>196</v>
      </c>
      <c r="B167" s="21">
        <v>45823</v>
      </c>
      <c r="C167" s="1" t="s">
        <v>23</v>
      </c>
      <c r="D167" s="1" t="s">
        <v>20</v>
      </c>
      <c r="E167" s="2">
        <v>4</v>
      </c>
      <c r="F167" s="1" t="s">
        <v>29</v>
      </c>
      <c r="G167" s="1" t="str">
        <f>INDEX(Table2[Nama Produk],MATCH(Table1[[#This Row],[SKU]],Table2[SKU],0))</f>
        <v>Laptop Pro 14</v>
      </c>
      <c r="H167" s="1" t="str">
        <f>VLOOKUP(Table1[[#This Row],[SKU]],Table2[],3,FALSE)</f>
        <v>Elektronik</v>
      </c>
      <c r="I167" s="37">
        <f>INDEX(Table2[Harga Jual],MATCH(Table1[[#This Row],[SKU]],Table2[SKU],0))</f>
        <v>12000000</v>
      </c>
      <c r="J167" s="37">
        <f>VLOOKUP(Table1[[#This Row],[SKU]],Table2[],4,FALSE)</f>
        <v>8500000</v>
      </c>
      <c r="K167" s="37">
        <f>INDEX(Table3[Biaya Kirim per Unit],MATCH(Table1[[#This Row],[Kota]],Table3[Kota],))</f>
        <v>35000</v>
      </c>
      <c r="L167" s="39">
        <f>VLOOKUP(Table1[[#This Row],[Kode_Promo]],Table4[],2,FALSE)</f>
        <v>0</v>
      </c>
      <c r="M167" s="37">
        <f>Table1[[#This Row],[Jumlah_Unit]]*Table1[[#This Row],[Harga_Satuan]]</f>
        <v>48000000</v>
      </c>
      <c r="N167" s="37">
        <f>Table1[[#This Row],[Total_Pendapatan_Kotor]]*Table1[[#This Row],[Persentase_Diskon]]</f>
        <v>0</v>
      </c>
      <c r="O167" s="37">
        <f>Table1[[#This Row],[Total_Pendapatan_Kotor]]-Table1[[#This Row],[Potongan_Diskon]]</f>
        <v>48000000</v>
      </c>
      <c r="P167" s="37">
        <f>(Table1[[#This Row],[Jumlah_Unit]]*Table1[[#This Row],[HPP_Satuan]])+(Table1[[#This Row],[Jumlah_Unit]]*Table1[[#This Row],[Biaya_Kirim_Satuan]])</f>
        <v>34140000</v>
      </c>
      <c r="Q167" s="37">
        <f>Table1[[#This Row],[Total_Pendapatan_Bersih]]-Table1[[#This Row],[Total_Biaya]]</f>
        <v>13860000</v>
      </c>
      <c r="R167" s="5">
        <f>Table1[[#This Row],[Laba_Kotor]]/Table1[[#This Row],[Total_Pendapatan_Bersih]]</f>
        <v>0.28875000000000001</v>
      </c>
    </row>
    <row r="168" spans="1:18" ht="20.25" thickBot="1" x14ac:dyDescent="0.6">
      <c r="A168" s="3" t="s">
        <v>197</v>
      </c>
      <c r="B168" s="21">
        <v>45824</v>
      </c>
      <c r="C168" s="1" t="s">
        <v>27</v>
      </c>
      <c r="D168" s="1" t="s">
        <v>24</v>
      </c>
      <c r="E168" s="2">
        <v>7</v>
      </c>
      <c r="F168" s="1" t="s">
        <v>25</v>
      </c>
      <c r="G168" s="1" t="str">
        <f>INDEX(Table2[Nama Produk],MATCH(Table1[[#This Row],[SKU]],Table2[SKU],0))</f>
        <v>Mechanical Keyboard</v>
      </c>
      <c r="H168" s="1" t="str">
        <f>VLOOKUP(Table1[[#This Row],[SKU]],Table2[],3,FALSE)</f>
        <v>Aksesori</v>
      </c>
      <c r="I168" s="37">
        <f>INDEX(Table2[Harga Jual],MATCH(Table1[[#This Row],[SKU]],Table2[SKU],0))</f>
        <v>850000</v>
      </c>
      <c r="J168" s="37">
        <f>VLOOKUP(Table1[[#This Row],[SKU]],Table2[],4,FALSE)</f>
        <v>450000</v>
      </c>
      <c r="K168" s="37">
        <f>INDEX(Table3[Biaya Kirim per Unit],MATCH(Table1[[#This Row],[Kota]],Table3[Kota],))</f>
        <v>50000</v>
      </c>
      <c r="L168" s="39">
        <f>VLOOKUP(Table1[[#This Row],[Kode_Promo]],Table4[],2,FALSE)</f>
        <v>0.3</v>
      </c>
      <c r="M168" s="37">
        <f>Table1[[#This Row],[Jumlah_Unit]]*Table1[[#This Row],[Harga_Satuan]]</f>
        <v>5950000</v>
      </c>
      <c r="N168" s="37">
        <f>Table1[[#This Row],[Total_Pendapatan_Kotor]]*Table1[[#This Row],[Persentase_Diskon]]</f>
        <v>1785000</v>
      </c>
      <c r="O168" s="37">
        <f>Table1[[#This Row],[Total_Pendapatan_Kotor]]-Table1[[#This Row],[Potongan_Diskon]]</f>
        <v>4165000</v>
      </c>
      <c r="P168" s="37">
        <f>(Table1[[#This Row],[Jumlah_Unit]]*Table1[[#This Row],[HPP_Satuan]])+(Table1[[#This Row],[Jumlah_Unit]]*Table1[[#This Row],[Biaya_Kirim_Satuan]])</f>
        <v>3500000</v>
      </c>
      <c r="Q168" s="37">
        <f>Table1[[#This Row],[Total_Pendapatan_Bersih]]-Table1[[#This Row],[Total_Biaya]]</f>
        <v>665000</v>
      </c>
      <c r="R168" s="5">
        <f>Table1[[#This Row],[Laba_Kotor]]/Table1[[#This Row],[Total_Pendapatan_Bersih]]</f>
        <v>0.15966386554621848</v>
      </c>
    </row>
    <row r="169" spans="1:18" ht="20.25" thickBot="1" x14ac:dyDescent="0.6">
      <c r="A169" s="3" t="s">
        <v>198</v>
      </c>
      <c r="B169" s="21">
        <v>45825</v>
      </c>
      <c r="C169" s="1" t="s">
        <v>31</v>
      </c>
      <c r="D169" s="1" t="s">
        <v>35</v>
      </c>
      <c r="E169" s="2">
        <v>2</v>
      </c>
      <c r="F169" s="1" t="s">
        <v>33</v>
      </c>
      <c r="G169" s="1" t="str">
        <f>INDEX(Table2[Nama Produk],MATCH(Table1[[#This Row],[SKU]],Table2[SKU],0))</f>
        <v>Meja Adjustable</v>
      </c>
      <c r="H169" s="1" t="str">
        <f>VLOOKUP(Table1[[#This Row],[SKU]],Table2[],3,FALSE)</f>
        <v>Furnitur</v>
      </c>
      <c r="I169" s="37">
        <f>INDEX(Table2[Harga Jual],MATCH(Table1[[#This Row],[SKU]],Table2[SKU],0))</f>
        <v>4200000</v>
      </c>
      <c r="J169" s="37">
        <f>VLOOKUP(Table1[[#This Row],[SKU]],Table2[],4,FALSE)</f>
        <v>2400000</v>
      </c>
      <c r="K169" s="37">
        <f>INDEX(Table3[Biaya Kirim per Unit],MATCH(Table1[[#This Row],[Kota]],Table3[Kota],))</f>
        <v>65000</v>
      </c>
      <c r="L169" s="39">
        <f>VLOOKUP(Table1[[#This Row],[Kode_Promo]],Table4[],2,FALSE)</f>
        <v>0.2</v>
      </c>
      <c r="M169" s="37">
        <f>Table1[[#This Row],[Jumlah_Unit]]*Table1[[#This Row],[Harga_Satuan]]</f>
        <v>8400000</v>
      </c>
      <c r="N169" s="37">
        <f>Table1[[#This Row],[Total_Pendapatan_Kotor]]*Table1[[#This Row],[Persentase_Diskon]]</f>
        <v>1680000</v>
      </c>
      <c r="O169" s="37">
        <f>Table1[[#This Row],[Total_Pendapatan_Kotor]]-Table1[[#This Row],[Potongan_Diskon]]</f>
        <v>6720000</v>
      </c>
      <c r="P169" s="37">
        <f>(Table1[[#This Row],[Jumlah_Unit]]*Table1[[#This Row],[HPP_Satuan]])+(Table1[[#This Row],[Jumlah_Unit]]*Table1[[#This Row],[Biaya_Kirim_Satuan]])</f>
        <v>4930000</v>
      </c>
      <c r="Q169" s="37">
        <f>Table1[[#This Row],[Total_Pendapatan_Bersih]]-Table1[[#This Row],[Total_Biaya]]</f>
        <v>1790000</v>
      </c>
      <c r="R169" s="5">
        <f>Table1[[#This Row],[Laba_Kotor]]/Table1[[#This Row],[Total_Pendapatan_Bersih]]</f>
        <v>0.26636904761904762</v>
      </c>
    </row>
    <row r="170" spans="1:18" ht="20.25" thickBot="1" x14ac:dyDescent="0.6">
      <c r="A170" s="3" t="s">
        <v>199</v>
      </c>
      <c r="B170" s="21">
        <v>45826</v>
      </c>
      <c r="C170" s="1" t="s">
        <v>19</v>
      </c>
      <c r="D170" s="1" t="s">
        <v>32</v>
      </c>
      <c r="E170" s="2">
        <v>1</v>
      </c>
      <c r="F170" s="1" t="s">
        <v>21</v>
      </c>
      <c r="G170" s="1" t="str">
        <f>INDEX(Table2[Nama Produk],MATCH(Table1[[#This Row],[SKU]],Table2[SKU],0))</f>
        <v>Monitor Ergonomis 27</v>
      </c>
      <c r="H170" s="1" t="str">
        <f>VLOOKUP(Table1[[#This Row],[SKU]],Table2[],3,FALSE)</f>
        <v>Elektronik</v>
      </c>
      <c r="I170" s="37">
        <f>INDEX(Table2[Harga Jual],MATCH(Table1[[#This Row],[SKU]],Table2[SKU],0))</f>
        <v>3400000</v>
      </c>
      <c r="J170" s="37">
        <f>VLOOKUP(Table1[[#This Row],[SKU]],Table2[],4,FALSE)</f>
        <v>2100000</v>
      </c>
      <c r="K170" s="37">
        <f>INDEX(Table3[Biaya Kirim per Unit],MATCH(Table1[[#This Row],[Kota]],Table3[Kota],))</f>
        <v>25000</v>
      </c>
      <c r="L170" s="39">
        <f>VLOOKUP(Table1[[#This Row],[Kode_Promo]],Table4[],2,FALSE)</f>
        <v>0.1</v>
      </c>
      <c r="M170" s="37">
        <f>Table1[[#This Row],[Jumlah_Unit]]*Table1[[#This Row],[Harga_Satuan]]</f>
        <v>3400000</v>
      </c>
      <c r="N170" s="37">
        <f>Table1[[#This Row],[Total_Pendapatan_Kotor]]*Table1[[#This Row],[Persentase_Diskon]]</f>
        <v>340000</v>
      </c>
      <c r="O170" s="37">
        <f>Table1[[#This Row],[Total_Pendapatan_Kotor]]-Table1[[#This Row],[Potongan_Diskon]]</f>
        <v>3060000</v>
      </c>
      <c r="P170" s="37">
        <f>(Table1[[#This Row],[Jumlah_Unit]]*Table1[[#This Row],[HPP_Satuan]])+(Table1[[#This Row],[Jumlah_Unit]]*Table1[[#This Row],[Biaya_Kirim_Satuan]])</f>
        <v>2125000</v>
      </c>
      <c r="Q170" s="37">
        <f>Table1[[#This Row],[Total_Pendapatan_Bersih]]-Table1[[#This Row],[Total_Biaya]]</f>
        <v>935000</v>
      </c>
      <c r="R170" s="5">
        <f>Table1[[#This Row],[Laba_Kotor]]/Table1[[#This Row],[Total_Pendapatan_Bersih]]</f>
        <v>0.30555555555555558</v>
      </c>
    </row>
    <row r="171" spans="1:18" ht="20.25" thickBot="1" x14ac:dyDescent="0.6">
      <c r="A171" s="3" t="s">
        <v>200</v>
      </c>
      <c r="B171" s="21">
        <v>45827</v>
      </c>
      <c r="C171" s="1" t="s">
        <v>23</v>
      </c>
      <c r="D171" s="1" t="s">
        <v>28</v>
      </c>
      <c r="E171" s="2">
        <v>3</v>
      </c>
      <c r="F171" s="1" t="s">
        <v>25</v>
      </c>
      <c r="G171" s="1" t="str">
        <f>INDEX(Table2[Nama Produk],MATCH(Table1[[#This Row],[SKU]],Table2[SKU],0))</f>
        <v>Kursi Kerja Ergonomis</v>
      </c>
      <c r="H171" s="1" t="str">
        <f>VLOOKUP(Table1[[#This Row],[SKU]],Table2[],3,FALSE)</f>
        <v>Furnitur</v>
      </c>
      <c r="I171" s="37">
        <f>INDEX(Table2[Harga Jual],MATCH(Table1[[#This Row],[SKU]],Table2[SKU],0))</f>
        <v>2100000</v>
      </c>
      <c r="J171" s="37">
        <f>VLOOKUP(Table1[[#This Row],[SKU]],Table2[],4,FALSE)</f>
        <v>1200000</v>
      </c>
      <c r="K171" s="37">
        <f>INDEX(Table3[Biaya Kirim per Unit],MATCH(Table1[[#This Row],[Kota]],Table3[Kota],))</f>
        <v>35000</v>
      </c>
      <c r="L171" s="39">
        <f>VLOOKUP(Table1[[#This Row],[Kode_Promo]],Table4[],2,FALSE)</f>
        <v>0.3</v>
      </c>
      <c r="M171" s="37">
        <f>Table1[[#This Row],[Jumlah_Unit]]*Table1[[#This Row],[Harga_Satuan]]</f>
        <v>6300000</v>
      </c>
      <c r="N171" s="37">
        <f>Table1[[#This Row],[Total_Pendapatan_Kotor]]*Table1[[#This Row],[Persentase_Diskon]]</f>
        <v>1890000</v>
      </c>
      <c r="O171" s="37">
        <f>Table1[[#This Row],[Total_Pendapatan_Kotor]]-Table1[[#This Row],[Potongan_Diskon]]</f>
        <v>4410000</v>
      </c>
      <c r="P171" s="37">
        <f>(Table1[[#This Row],[Jumlah_Unit]]*Table1[[#This Row],[HPP_Satuan]])+(Table1[[#This Row],[Jumlah_Unit]]*Table1[[#This Row],[Biaya_Kirim_Satuan]])</f>
        <v>3705000</v>
      </c>
      <c r="Q171" s="37">
        <f>Table1[[#This Row],[Total_Pendapatan_Bersih]]-Table1[[#This Row],[Total_Biaya]]</f>
        <v>705000</v>
      </c>
      <c r="R171" s="5">
        <f>Table1[[#This Row],[Laba_Kotor]]/Table1[[#This Row],[Total_Pendapatan_Bersih]]</f>
        <v>0.1598639455782313</v>
      </c>
    </row>
    <row r="172" spans="1:18" ht="20.25" thickBot="1" x14ac:dyDescent="0.6">
      <c r="A172" s="3" t="s">
        <v>201</v>
      </c>
      <c r="B172" s="21">
        <v>45828</v>
      </c>
      <c r="C172" s="1" t="s">
        <v>27</v>
      </c>
      <c r="D172" s="1" t="s">
        <v>20</v>
      </c>
      <c r="E172" s="2">
        <v>2</v>
      </c>
      <c r="F172" s="1" t="s">
        <v>29</v>
      </c>
      <c r="G172" s="1" t="str">
        <f>INDEX(Table2[Nama Produk],MATCH(Table1[[#This Row],[SKU]],Table2[SKU],0))</f>
        <v>Laptop Pro 14</v>
      </c>
      <c r="H172" s="1" t="str">
        <f>VLOOKUP(Table1[[#This Row],[SKU]],Table2[],3,FALSE)</f>
        <v>Elektronik</v>
      </c>
      <c r="I172" s="37">
        <f>INDEX(Table2[Harga Jual],MATCH(Table1[[#This Row],[SKU]],Table2[SKU],0))</f>
        <v>12000000</v>
      </c>
      <c r="J172" s="37">
        <f>VLOOKUP(Table1[[#This Row],[SKU]],Table2[],4,FALSE)</f>
        <v>8500000</v>
      </c>
      <c r="K172" s="37">
        <f>INDEX(Table3[Biaya Kirim per Unit],MATCH(Table1[[#This Row],[Kota]],Table3[Kota],))</f>
        <v>50000</v>
      </c>
      <c r="L172" s="39">
        <f>VLOOKUP(Table1[[#This Row],[Kode_Promo]],Table4[],2,FALSE)</f>
        <v>0</v>
      </c>
      <c r="M172" s="37">
        <f>Table1[[#This Row],[Jumlah_Unit]]*Table1[[#This Row],[Harga_Satuan]]</f>
        <v>24000000</v>
      </c>
      <c r="N172" s="37">
        <f>Table1[[#This Row],[Total_Pendapatan_Kotor]]*Table1[[#This Row],[Persentase_Diskon]]</f>
        <v>0</v>
      </c>
      <c r="O172" s="37">
        <f>Table1[[#This Row],[Total_Pendapatan_Kotor]]-Table1[[#This Row],[Potongan_Diskon]]</f>
        <v>24000000</v>
      </c>
      <c r="P172" s="37">
        <f>(Table1[[#This Row],[Jumlah_Unit]]*Table1[[#This Row],[HPP_Satuan]])+(Table1[[#This Row],[Jumlah_Unit]]*Table1[[#This Row],[Biaya_Kirim_Satuan]])</f>
        <v>17100000</v>
      </c>
      <c r="Q172" s="37">
        <f>Table1[[#This Row],[Total_Pendapatan_Bersih]]-Table1[[#This Row],[Total_Biaya]]</f>
        <v>6900000</v>
      </c>
      <c r="R172" s="5">
        <f>Table1[[#This Row],[Laba_Kotor]]/Table1[[#This Row],[Total_Pendapatan_Bersih]]</f>
        <v>0.28749999999999998</v>
      </c>
    </row>
    <row r="173" spans="1:18" ht="20.25" thickBot="1" x14ac:dyDescent="0.6">
      <c r="A173" s="3" t="s">
        <v>202</v>
      </c>
      <c r="B173" s="21">
        <v>45829</v>
      </c>
      <c r="C173" s="1" t="s">
        <v>31</v>
      </c>
      <c r="D173" s="1" t="s">
        <v>24</v>
      </c>
      <c r="E173" s="2">
        <v>8</v>
      </c>
      <c r="F173" s="1" t="s">
        <v>33</v>
      </c>
      <c r="G173" s="1" t="str">
        <f>INDEX(Table2[Nama Produk],MATCH(Table1[[#This Row],[SKU]],Table2[SKU],0))</f>
        <v>Mechanical Keyboard</v>
      </c>
      <c r="H173" s="1" t="str">
        <f>VLOOKUP(Table1[[#This Row],[SKU]],Table2[],3,FALSE)</f>
        <v>Aksesori</v>
      </c>
      <c r="I173" s="37">
        <f>INDEX(Table2[Harga Jual],MATCH(Table1[[#This Row],[SKU]],Table2[SKU],0))</f>
        <v>850000</v>
      </c>
      <c r="J173" s="37">
        <f>VLOOKUP(Table1[[#This Row],[SKU]],Table2[],4,FALSE)</f>
        <v>450000</v>
      </c>
      <c r="K173" s="37">
        <f>INDEX(Table3[Biaya Kirim per Unit],MATCH(Table1[[#This Row],[Kota]],Table3[Kota],))</f>
        <v>65000</v>
      </c>
      <c r="L173" s="39">
        <f>VLOOKUP(Table1[[#This Row],[Kode_Promo]],Table4[],2,FALSE)</f>
        <v>0.2</v>
      </c>
      <c r="M173" s="37">
        <f>Table1[[#This Row],[Jumlah_Unit]]*Table1[[#This Row],[Harga_Satuan]]</f>
        <v>6800000</v>
      </c>
      <c r="N173" s="37">
        <f>Table1[[#This Row],[Total_Pendapatan_Kotor]]*Table1[[#This Row],[Persentase_Diskon]]</f>
        <v>1360000</v>
      </c>
      <c r="O173" s="37">
        <f>Table1[[#This Row],[Total_Pendapatan_Kotor]]-Table1[[#This Row],[Potongan_Diskon]]</f>
        <v>5440000</v>
      </c>
      <c r="P173" s="37">
        <f>(Table1[[#This Row],[Jumlah_Unit]]*Table1[[#This Row],[HPP_Satuan]])+(Table1[[#This Row],[Jumlah_Unit]]*Table1[[#This Row],[Biaya_Kirim_Satuan]])</f>
        <v>4120000</v>
      </c>
      <c r="Q173" s="37">
        <f>Table1[[#This Row],[Total_Pendapatan_Bersih]]-Table1[[#This Row],[Total_Biaya]]</f>
        <v>1320000</v>
      </c>
      <c r="R173" s="5">
        <f>Table1[[#This Row],[Laba_Kotor]]/Table1[[#This Row],[Total_Pendapatan_Bersih]]</f>
        <v>0.24264705882352941</v>
      </c>
    </row>
    <row r="174" spans="1:18" ht="20.25" thickBot="1" x14ac:dyDescent="0.6">
      <c r="A174" s="3" t="s">
        <v>203</v>
      </c>
      <c r="B174" s="21">
        <v>45830</v>
      </c>
      <c r="C174" s="1" t="s">
        <v>19</v>
      </c>
      <c r="D174" s="1" t="s">
        <v>28</v>
      </c>
      <c r="E174" s="2">
        <v>5</v>
      </c>
      <c r="F174" s="1" t="s">
        <v>21</v>
      </c>
      <c r="G174" s="1" t="str">
        <f>INDEX(Table2[Nama Produk],MATCH(Table1[[#This Row],[SKU]],Table2[SKU],0))</f>
        <v>Kursi Kerja Ergonomis</v>
      </c>
      <c r="H174" s="1" t="str">
        <f>VLOOKUP(Table1[[#This Row],[SKU]],Table2[],3,FALSE)</f>
        <v>Furnitur</v>
      </c>
      <c r="I174" s="37">
        <f>INDEX(Table2[Harga Jual],MATCH(Table1[[#This Row],[SKU]],Table2[SKU],0))</f>
        <v>2100000</v>
      </c>
      <c r="J174" s="37">
        <f>VLOOKUP(Table1[[#This Row],[SKU]],Table2[],4,FALSE)</f>
        <v>1200000</v>
      </c>
      <c r="K174" s="37">
        <f>INDEX(Table3[Biaya Kirim per Unit],MATCH(Table1[[#This Row],[Kota]],Table3[Kota],))</f>
        <v>25000</v>
      </c>
      <c r="L174" s="39">
        <f>VLOOKUP(Table1[[#This Row],[Kode_Promo]],Table4[],2,FALSE)</f>
        <v>0.1</v>
      </c>
      <c r="M174" s="37">
        <f>Table1[[#This Row],[Jumlah_Unit]]*Table1[[#This Row],[Harga_Satuan]]</f>
        <v>10500000</v>
      </c>
      <c r="N174" s="37">
        <f>Table1[[#This Row],[Total_Pendapatan_Kotor]]*Table1[[#This Row],[Persentase_Diskon]]</f>
        <v>1050000</v>
      </c>
      <c r="O174" s="37">
        <f>Table1[[#This Row],[Total_Pendapatan_Kotor]]-Table1[[#This Row],[Potongan_Diskon]]</f>
        <v>9450000</v>
      </c>
      <c r="P174" s="37">
        <f>(Table1[[#This Row],[Jumlah_Unit]]*Table1[[#This Row],[HPP_Satuan]])+(Table1[[#This Row],[Jumlah_Unit]]*Table1[[#This Row],[Biaya_Kirim_Satuan]])</f>
        <v>6125000</v>
      </c>
      <c r="Q174" s="37">
        <f>Table1[[#This Row],[Total_Pendapatan_Bersih]]-Table1[[#This Row],[Total_Biaya]]</f>
        <v>3325000</v>
      </c>
      <c r="R174" s="5">
        <f>Table1[[#This Row],[Laba_Kotor]]/Table1[[#This Row],[Total_Pendapatan_Bersih]]</f>
        <v>0.35185185185185186</v>
      </c>
    </row>
    <row r="175" spans="1:18" ht="20.25" thickBot="1" x14ac:dyDescent="0.6">
      <c r="A175" s="3" t="s">
        <v>204</v>
      </c>
      <c r="B175" s="21">
        <v>45831</v>
      </c>
      <c r="C175" s="1" t="s">
        <v>23</v>
      </c>
      <c r="D175" s="1" t="s">
        <v>32</v>
      </c>
      <c r="E175" s="2">
        <v>2</v>
      </c>
      <c r="F175" s="1" t="s">
        <v>25</v>
      </c>
      <c r="G175" s="1" t="str">
        <f>INDEX(Table2[Nama Produk],MATCH(Table1[[#This Row],[SKU]],Table2[SKU],0))</f>
        <v>Monitor Ergonomis 27</v>
      </c>
      <c r="H175" s="1" t="str">
        <f>VLOOKUP(Table1[[#This Row],[SKU]],Table2[],3,FALSE)</f>
        <v>Elektronik</v>
      </c>
      <c r="I175" s="37">
        <f>INDEX(Table2[Harga Jual],MATCH(Table1[[#This Row],[SKU]],Table2[SKU],0))</f>
        <v>3400000</v>
      </c>
      <c r="J175" s="37">
        <f>VLOOKUP(Table1[[#This Row],[SKU]],Table2[],4,FALSE)</f>
        <v>2100000</v>
      </c>
      <c r="K175" s="37">
        <f>INDEX(Table3[Biaya Kirim per Unit],MATCH(Table1[[#This Row],[Kota]],Table3[Kota],))</f>
        <v>35000</v>
      </c>
      <c r="L175" s="39">
        <f>VLOOKUP(Table1[[#This Row],[Kode_Promo]],Table4[],2,FALSE)</f>
        <v>0.3</v>
      </c>
      <c r="M175" s="37">
        <f>Table1[[#This Row],[Jumlah_Unit]]*Table1[[#This Row],[Harga_Satuan]]</f>
        <v>6800000</v>
      </c>
      <c r="N175" s="37">
        <f>Table1[[#This Row],[Total_Pendapatan_Kotor]]*Table1[[#This Row],[Persentase_Diskon]]</f>
        <v>2040000</v>
      </c>
      <c r="O175" s="37">
        <f>Table1[[#This Row],[Total_Pendapatan_Kotor]]-Table1[[#This Row],[Potongan_Diskon]]</f>
        <v>4760000</v>
      </c>
      <c r="P175" s="37">
        <f>(Table1[[#This Row],[Jumlah_Unit]]*Table1[[#This Row],[HPP_Satuan]])+(Table1[[#This Row],[Jumlah_Unit]]*Table1[[#This Row],[Biaya_Kirim_Satuan]])</f>
        <v>4270000</v>
      </c>
      <c r="Q175" s="37">
        <f>Table1[[#This Row],[Total_Pendapatan_Bersih]]-Table1[[#This Row],[Total_Biaya]]</f>
        <v>490000</v>
      </c>
      <c r="R175" s="5">
        <f>Table1[[#This Row],[Laba_Kotor]]/Table1[[#This Row],[Total_Pendapatan_Bersih]]</f>
        <v>0.10294117647058823</v>
      </c>
    </row>
    <row r="176" spans="1:18" ht="20.25" thickBot="1" x14ac:dyDescent="0.6">
      <c r="A176" s="3" t="s">
        <v>205</v>
      </c>
      <c r="B176" s="21">
        <v>45832</v>
      </c>
      <c r="C176" s="1" t="s">
        <v>27</v>
      </c>
      <c r="D176" s="1" t="s">
        <v>35</v>
      </c>
      <c r="E176" s="2">
        <v>4</v>
      </c>
      <c r="F176" s="1" t="s">
        <v>29</v>
      </c>
      <c r="G176" s="1" t="str">
        <f>INDEX(Table2[Nama Produk],MATCH(Table1[[#This Row],[SKU]],Table2[SKU],0))</f>
        <v>Meja Adjustable</v>
      </c>
      <c r="H176" s="1" t="str">
        <f>VLOOKUP(Table1[[#This Row],[SKU]],Table2[],3,FALSE)</f>
        <v>Furnitur</v>
      </c>
      <c r="I176" s="37">
        <f>INDEX(Table2[Harga Jual],MATCH(Table1[[#This Row],[SKU]],Table2[SKU],0))</f>
        <v>4200000</v>
      </c>
      <c r="J176" s="37">
        <f>VLOOKUP(Table1[[#This Row],[SKU]],Table2[],4,FALSE)</f>
        <v>2400000</v>
      </c>
      <c r="K176" s="37">
        <f>INDEX(Table3[Biaya Kirim per Unit],MATCH(Table1[[#This Row],[Kota]],Table3[Kota],))</f>
        <v>50000</v>
      </c>
      <c r="L176" s="39">
        <f>VLOOKUP(Table1[[#This Row],[Kode_Promo]],Table4[],2,FALSE)</f>
        <v>0</v>
      </c>
      <c r="M176" s="37">
        <f>Table1[[#This Row],[Jumlah_Unit]]*Table1[[#This Row],[Harga_Satuan]]</f>
        <v>16800000</v>
      </c>
      <c r="N176" s="37">
        <f>Table1[[#This Row],[Total_Pendapatan_Kotor]]*Table1[[#This Row],[Persentase_Diskon]]</f>
        <v>0</v>
      </c>
      <c r="O176" s="37">
        <f>Table1[[#This Row],[Total_Pendapatan_Kotor]]-Table1[[#This Row],[Potongan_Diskon]]</f>
        <v>16800000</v>
      </c>
      <c r="P176" s="37">
        <f>(Table1[[#This Row],[Jumlah_Unit]]*Table1[[#This Row],[HPP_Satuan]])+(Table1[[#This Row],[Jumlah_Unit]]*Table1[[#This Row],[Biaya_Kirim_Satuan]])</f>
        <v>9800000</v>
      </c>
      <c r="Q176" s="37">
        <f>Table1[[#This Row],[Total_Pendapatan_Bersih]]-Table1[[#This Row],[Total_Biaya]]</f>
        <v>7000000</v>
      </c>
      <c r="R176" s="5">
        <f>Table1[[#This Row],[Laba_Kotor]]/Table1[[#This Row],[Total_Pendapatan_Bersih]]</f>
        <v>0.41666666666666669</v>
      </c>
    </row>
    <row r="177" spans="1:18" ht="20.25" thickBot="1" x14ac:dyDescent="0.6">
      <c r="A177" s="3" t="s">
        <v>206</v>
      </c>
      <c r="B177" s="21">
        <v>45833</v>
      </c>
      <c r="C177" s="1" t="s">
        <v>31</v>
      </c>
      <c r="D177" s="1" t="s">
        <v>20</v>
      </c>
      <c r="E177" s="2">
        <v>2</v>
      </c>
      <c r="F177" s="1" t="s">
        <v>33</v>
      </c>
      <c r="G177" s="1" t="str">
        <f>INDEX(Table2[Nama Produk],MATCH(Table1[[#This Row],[SKU]],Table2[SKU],0))</f>
        <v>Laptop Pro 14</v>
      </c>
      <c r="H177" s="1" t="str">
        <f>VLOOKUP(Table1[[#This Row],[SKU]],Table2[],3,FALSE)</f>
        <v>Elektronik</v>
      </c>
      <c r="I177" s="37">
        <f>INDEX(Table2[Harga Jual],MATCH(Table1[[#This Row],[SKU]],Table2[SKU],0))</f>
        <v>12000000</v>
      </c>
      <c r="J177" s="37">
        <f>VLOOKUP(Table1[[#This Row],[SKU]],Table2[],4,FALSE)</f>
        <v>8500000</v>
      </c>
      <c r="K177" s="37">
        <f>INDEX(Table3[Biaya Kirim per Unit],MATCH(Table1[[#This Row],[Kota]],Table3[Kota],))</f>
        <v>65000</v>
      </c>
      <c r="L177" s="39">
        <f>VLOOKUP(Table1[[#This Row],[Kode_Promo]],Table4[],2,FALSE)</f>
        <v>0.2</v>
      </c>
      <c r="M177" s="37">
        <f>Table1[[#This Row],[Jumlah_Unit]]*Table1[[#This Row],[Harga_Satuan]]</f>
        <v>24000000</v>
      </c>
      <c r="N177" s="37">
        <f>Table1[[#This Row],[Total_Pendapatan_Kotor]]*Table1[[#This Row],[Persentase_Diskon]]</f>
        <v>4800000</v>
      </c>
      <c r="O177" s="37">
        <f>Table1[[#This Row],[Total_Pendapatan_Kotor]]-Table1[[#This Row],[Potongan_Diskon]]</f>
        <v>19200000</v>
      </c>
      <c r="P177" s="37">
        <f>(Table1[[#This Row],[Jumlah_Unit]]*Table1[[#This Row],[HPP_Satuan]])+(Table1[[#This Row],[Jumlah_Unit]]*Table1[[#This Row],[Biaya_Kirim_Satuan]])</f>
        <v>17130000</v>
      </c>
      <c r="Q177" s="37">
        <f>Table1[[#This Row],[Total_Pendapatan_Bersih]]-Table1[[#This Row],[Total_Biaya]]</f>
        <v>2070000</v>
      </c>
      <c r="R177" s="5">
        <f>Table1[[#This Row],[Laba_Kotor]]/Table1[[#This Row],[Total_Pendapatan_Bersih]]</f>
        <v>0.10781250000000001</v>
      </c>
    </row>
    <row r="178" spans="1:18" ht="20.25" thickBot="1" x14ac:dyDescent="0.6">
      <c r="A178" s="3" t="s">
        <v>207</v>
      </c>
      <c r="B178" s="21">
        <v>45834</v>
      </c>
      <c r="C178" s="1" t="s">
        <v>19</v>
      </c>
      <c r="D178" s="1" t="s">
        <v>24</v>
      </c>
      <c r="E178" s="2">
        <v>3</v>
      </c>
      <c r="F178" s="1" t="s">
        <v>21</v>
      </c>
      <c r="G178" s="1" t="str">
        <f>INDEX(Table2[Nama Produk],MATCH(Table1[[#This Row],[SKU]],Table2[SKU],0))</f>
        <v>Mechanical Keyboard</v>
      </c>
      <c r="H178" s="1" t="str">
        <f>VLOOKUP(Table1[[#This Row],[SKU]],Table2[],3,FALSE)</f>
        <v>Aksesori</v>
      </c>
      <c r="I178" s="37">
        <f>INDEX(Table2[Harga Jual],MATCH(Table1[[#This Row],[SKU]],Table2[SKU],0))</f>
        <v>850000</v>
      </c>
      <c r="J178" s="37">
        <f>VLOOKUP(Table1[[#This Row],[SKU]],Table2[],4,FALSE)</f>
        <v>450000</v>
      </c>
      <c r="K178" s="37">
        <f>INDEX(Table3[Biaya Kirim per Unit],MATCH(Table1[[#This Row],[Kota]],Table3[Kota],))</f>
        <v>25000</v>
      </c>
      <c r="L178" s="39">
        <f>VLOOKUP(Table1[[#This Row],[Kode_Promo]],Table4[],2,FALSE)</f>
        <v>0.1</v>
      </c>
      <c r="M178" s="37">
        <f>Table1[[#This Row],[Jumlah_Unit]]*Table1[[#This Row],[Harga_Satuan]]</f>
        <v>2550000</v>
      </c>
      <c r="N178" s="37">
        <f>Table1[[#This Row],[Total_Pendapatan_Kotor]]*Table1[[#This Row],[Persentase_Diskon]]</f>
        <v>255000</v>
      </c>
      <c r="O178" s="37">
        <f>Table1[[#This Row],[Total_Pendapatan_Kotor]]-Table1[[#This Row],[Potongan_Diskon]]</f>
        <v>2295000</v>
      </c>
      <c r="P178" s="37">
        <f>(Table1[[#This Row],[Jumlah_Unit]]*Table1[[#This Row],[HPP_Satuan]])+(Table1[[#This Row],[Jumlah_Unit]]*Table1[[#This Row],[Biaya_Kirim_Satuan]])</f>
        <v>1425000</v>
      </c>
      <c r="Q178" s="37">
        <f>Table1[[#This Row],[Total_Pendapatan_Bersih]]-Table1[[#This Row],[Total_Biaya]]</f>
        <v>870000</v>
      </c>
      <c r="R178" s="5">
        <f>Table1[[#This Row],[Laba_Kotor]]/Table1[[#This Row],[Total_Pendapatan_Bersih]]</f>
        <v>0.37908496732026142</v>
      </c>
    </row>
    <row r="179" spans="1:18" ht="20.25" thickBot="1" x14ac:dyDescent="0.6">
      <c r="A179" s="3" t="s">
        <v>208</v>
      </c>
      <c r="B179" s="21">
        <v>45835</v>
      </c>
      <c r="C179" s="1" t="s">
        <v>23</v>
      </c>
      <c r="D179" s="1" t="s">
        <v>35</v>
      </c>
      <c r="E179" s="2">
        <v>5</v>
      </c>
      <c r="F179" s="1" t="s">
        <v>25</v>
      </c>
      <c r="G179" s="1" t="str">
        <f>INDEX(Table2[Nama Produk],MATCH(Table1[[#This Row],[SKU]],Table2[SKU],0))</f>
        <v>Meja Adjustable</v>
      </c>
      <c r="H179" s="1" t="str">
        <f>VLOOKUP(Table1[[#This Row],[SKU]],Table2[],3,FALSE)</f>
        <v>Furnitur</v>
      </c>
      <c r="I179" s="37">
        <f>INDEX(Table2[Harga Jual],MATCH(Table1[[#This Row],[SKU]],Table2[SKU],0))</f>
        <v>4200000</v>
      </c>
      <c r="J179" s="37">
        <f>VLOOKUP(Table1[[#This Row],[SKU]],Table2[],4,FALSE)</f>
        <v>2400000</v>
      </c>
      <c r="K179" s="37">
        <f>INDEX(Table3[Biaya Kirim per Unit],MATCH(Table1[[#This Row],[Kota]],Table3[Kota],))</f>
        <v>35000</v>
      </c>
      <c r="L179" s="39">
        <f>VLOOKUP(Table1[[#This Row],[Kode_Promo]],Table4[],2,FALSE)</f>
        <v>0.3</v>
      </c>
      <c r="M179" s="37">
        <f>Table1[[#This Row],[Jumlah_Unit]]*Table1[[#This Row],[Harga_Satuan]]</f>
        <v>21000000</v>
      </c>
      <c r="N179" s="37">
        <f>Table1[[#This Row],[Total_Pendapatan_Kotor]]*Table1[[#This Row],[Persentase_Diskon]]</f>
        <v>6300000</v>
      </c>
      <c r="O179" s="37">
        <f>Table1[[#This Row],[Total_Pendapatan_Kotor]]-Table1[[#This Row],[Potongan_Diskon]]</f>
        <v>14700000</v>
      </c>
      <c r="P179" s="37">
        <f>(Table1[[#This Row],[Jumlah_Unit]]*Table1[[#This Row],[HPP_Satuan]])+(Table1[[#This Row],[Jumlah_Unit]]*Table1[[#This Row],[Biaya_Kirim_Satuan]])</f>
        <v>12175000</v>
      </c>
      <c r="Q179" s="37">
        <f>Table1[[#This Row],[Total_Pendapatan_Bersih]]-Table1[[#This Row],[Total_Biaya]]</f>
        <v>2525000</v>
      </c>
      <c r="R179" s="5">
        <f>Table1[[#This Row],[Laba_Kotor]]/Table1[[#This Row],[Total_Pendapatan_Bersih]]</f>
        <v>0.17176870748299319</v>
      </c>
    </row>
    <row r="180" spans="1:18" ht="20.25" thickBot="1" x14ac:dyDescent="0.6">
      <c r="A180" s="3" t="s">
        <v>209</v>
      </c>
      <c r="B180" s="21">
        <v>45836</v>
      </c>
      <c r="C180" s="1" t="s">
        <v>27</v>
      </c>
      <c r="D180" s="1" t="s">
        <v>32</v>
      </c>
      <c r="E180" s="2">
        <v>1</v>
      </c>
      <c r="F180" s="1" t="s">
        <v>29</v>
      </c>
      <c r="G180" s="1" t="str">
        <f>INDEX(Table2[Nama Produk],MATCH(Table1[[#This Row],[SKU]],Table2[SKU],0))</f>
        <v>Monitor Ergonomis 27</v>
      </c>
      <c r="H180" s="1" t="str">
        <f>VLOOKUP(Table1[[#This Row],[SKU]],Table2[],3,FALSE)</f>
        <v>Elektronik</v>
      </c>
      <c r="I180" s="37">
        <f>INDEX(Table2[Harga Jual],MATCH(Table1[[#This Row],[SKU]],Table2[SKU],0))</f>
        <v>3400000</v>
      </c>
      <c r="J180" s="37">
        <f>VLOOKUP(Table1[[#This Row],[SKU]],Table2[],4,FALSE)</f>
        <v>2100000</v>
      </c>
      <c r="K180" s="37">
        <f>INDEX(Table3[Biaya Kirim per Unit],MATCH(Table1[[#This Row],[Kota]],Table3[Kota],))</f>
        <v>50000</v>
      </c>
      <c r="L180" s="39">
        <f>VLOOKUP(Table1[[#This Row],[Kode_Promo]],Table4[],2,FALSE)</f>
        <v>0</v>
      </c>
      <c r="M180" s="37">
        <f>Table1[[#This Row],[Jumlah_Unit]]*Table1[[#This Row],[Harga_Satuan]]</f>
        <v>3400000</v>
      </c>
      <c r="N180" s="37">
        <f>Table1[[#This Row],[Total_Pendapatan_Kotor]]*Table1[[#This Row],[Persentase_Diskon]]</f>
        <v>0</v>
      </c>
      <c r="O180" s="37">
        <f>Table1[[#This Row],[Total_Pendapatan_Kotor]]-Table1[[#This Row],[Potongan_Diskon]]</f>
        <v>3400000</v>
      </c>
      <c r="P180" s="37">
        <f>(Table1[[#This Row],[Jumlah_Unit]]*Table1[[#This Row],[HPP_Satuan]])+(Table1[[#This Row],[Jumlah_Unit]]*Table1[[#This Row],[Biaya_Kirim_Satuan]])</f>
        <v>2150000</v>
      </c>
      <c r="Q180" s="37">
        <f>Table1[[#This Row],[Total_Pendapatan_Bersih]]-Table1[[#This Row],[Total_Biaya]]</f>
        <v>1250000</v>
      </c>
      <c r="R180" s="5">
        <f>Table1[[#This Row],[Laba_Kotor]]/Table1[[#This Row],[Total_Pendapatan_Bersih]]</f>
        <v>0.36764705882352944</v>
      </c>
    </row>
    <row r="181" spans="1:18" ht="20.25" thickBot="1" x14ac:dyDescent="0.6">
      <c r="A181" s="3" t="s">
        <v>210</v>
      </c>
      <c r="B181" s="21">
        <v>45837</v>
      </c>
      <c r="C181" s="1" t="s">
        <v>31</v>
      </c>
      <c r="D181" s="1" t="s">
        <v>28</v>
      </c>
      <c r="E181" s="2">
        <v>4</v>
      </c>
      <c r="F181" s="1" t="s">
        <v>33</v>
      </c>
      <c r="G181" s="1" t="str">
        <f>INDEX(Table2[Nama Produk],MATCH(Table1[[#This Row],[SKU]],Table2[SKU],0))</f>
        <v>Kursi Kerja Ergonomis</v>
      </c>
      <c r="H181" s="1" t="str">
        <f>VLOOKUP(Table1[[#This Row],[SKU]],Table2[],3,FALSE)</f>
        <v>Furnitur</v>
      </c>
      <c r="I181" s="37">
        <f>INDEX(Table2[Harga Jual],MATCH(Table1[[#This Row],[SKU]],Table2[SKU],0))</f>
        <v>2100000</v>
      </c>
      <c r="J181" s="37">
        <f>VLOOKUP(Table1[[#This Row],[SKU]],Table2[],4,FALSE)</f>
        <v>1200000</v>
      </c>
      <c r="K181" s="37">
        <f>INDEX(Table3[Biaya Kirim per Unit],MATCH(Table1[[#This Row],[Kota]],Table3[Kota],))</f>
        <v>65000</v>
      </c>
      <c r="L181" s="39">
        <f>VLOOKUP(Table1[[#This Row],[Kode_Promo]],Table4[],2,FALSE)</f>
        <v>0.2</v>
      </c>
      <c r="M181" s="37">
        <f>Table1[[#This Row],[Jumlah_Unit]]*Table1[[#This Row],[Harga_Satuan]]</f>
        <v>8400000</v>
      </c>
      <c r="N181" s="37">
        <f>Table1[[#This Row],[Total_Pendapatan_Kotor]]*Table1[[#This Row],[Persentase_Diskon]]</f>
        <v>1680000</v>
      </c>
      <c r="O181" s="37">
        <f>Table1[[#This Row],[Total_Pendapatan_Kotor]]-Table1[[#This Row],[Potongan_Diskon]]</f>
        <v>6720000</v>
      </c>
      <c r="P181" s="37">
        <f>(Table1[[#This Row],[Jumlah_Unit]]*Table1[[#This Row],[HPP_Satuan]])+(Table1[[#This Row],[Jumlah_Unit]]*Table1[[#This Row],[Biaya_Kirim_Satuan]])</f>
        <v>5060000</v>
      </c>
      <c r="Q181" s="37">
        <f>Table1[[#This Row],[Total_Pendapatan_Bersih]]-Table1[[#This Row],[Total_Biaya]]</f>
        <v>1660000</v>
      </c>
      <c r="R181" s="5">
        <f>Table1[[#This Row],[Laba_Kotor]]/Table1[[#This Row],[Total_Pendapatan_Bersih]]</f>
        <v>0.24702380952380953</v>
      </c>
    </row>
    <row r="182" spans="1:18" ht="20.25" thickBot="1" x14ac:dyDescent="0.6">
      <c r="A182" s="3" t="s">
        <v>211</v>
      </c>
      <c r="B182" s="21">
        <v>45838</v>
      </c>
      <c r="C182" s="1" t="s">
        <v>19</v>
      </c>
      <c r="D182" s="1" t="s">
        <v>20</v>
      </c>
      <c r="E182" s="2">
        <v>3</v>
      </c>
      <c r="F182" s="1" t="s">
        <v>21</v>
      </c>
      <c r="G182" s="1" t="str">
        <f>INDEX(Table2[Nama Produk],MATCH(Table1[[#This Row],[SKU]],Table2[SKU],0))</f>
        <v>Laptop Pro 14</v>
      </c>
      <c r="H182" s="1" t="str">
        <f>VLOOKUP(Table1[[#This Row],[SKU]],Table2[],3,FALSE)</f>
        <v>Elektronik</v>
      </c>
      <c r="I182" s="37">
        <f>INDEX(Table2[Harga Jual],MATCH(Table1[[#This Row],[SKU]],Table2[SKU],0))</f>
        <v>12000000</v>
      </c>
      <c r="J182" s="37">
        <f>VLOOKUP(Table1[[#This Row],[SKU]],Table2[],4,FALSE)</f>
        <v>8500000</v>
      </c>
      <c r="K182" s="37">
        <f>INDEX(Table3[Biaya Kirim per Unit],MATCH(Table1[[#This Row],[Kota]],Table3[Kota],))</f>
        <v>25000</v>
      </c>
      <c r="L182" s="39">
        <f>VLOOKUP(Table1[[#This Row],[Kode_Promo]],Table4[],2,FALSE)</f>
        <v>0.1</v>
      </c>
      <c r="M182" s="37">
        <f>Table1[[#This Row],[Jumlah_Unit]]*Table1[[#This Row],[Harga_Satuan]]</f>
        <v>36000000</v>
      </c>
      <c r="N182" s="37">
        <f>Table1[[#This Row],[Total_Pendapatan_Kotor]]*Table1[[#This Row],[Persentase_Diskon]]</f>
        <v>3600000</v>
      </c>
      <c r="O182" s="37">
        <f>Table1[[#This Row],[Total_Pendapatan_Kotor]]-Table1[[#This Row],[Potongan_Diskon]]</f>
        <v>32400000</v>
      </c>
      <c r="P182" s="37">
        <f>(Table1[[#This Row],[Jumlah_Unit]]*Table1[[#This Row],[HPP_Satuan]])+(Table1[[#This Row],[Jumlah_Unit]]*Table1[[#This Row],[Biaya_Kirim_Satuan]])</f>
        <v>25575000</v>
      </c>
      <c r="Q182" s="37">
        <f>Table1[[#This Row],[Total_Pendapatan_Bersih]]-Table1[[#This Row],[Total_Biaya]]</f>
        <v>6825000</v>
      </c>
      <c r="R182" s="5">
        <f>Table1[[#This Row],[Laba_Kotor]]/Table1[[#This Row],[Total_Pendapatan_Bersih]]</f>
        <v>0.21064814814814814</v>
      </c>
    </row>
    <row r="183" spans="1:18" ht="20.25" thickBot="1" x14ac:dyDescent="0.6">
      <c r="A183" s="3" t="s">
        <v>212</v>
      </c>
      <c r="B183" s="21">
        <v>45839</v>
      </c>
      <c r="C183" s="1" t="s">
        <v>23</v>
      </c>
      <c r="D183" s="1" t="s">
        <v>24</v>
      </c>
      <c r="E183" s="2">
        <v>5</v>
      </c>
      <c r="F183" s="1" t="s">
        <v>25</v>
      </c>
      <c r="G183" s="1" t="str">
        <f>INDEX(Table2[Nama Produk],MATCH(Table1[[#This Row],[SKU]],Table2[SKU],0))</f>
        <v>Mechanical Keyboard</v>
      </c>
      <c r="H183" s="1" t="str">
        <f>VLOOKUP(Table1[[#This Row],[SKU]],Table2[],3,FALSE)</f>
        <v>Aksesori</v>
      </c>
      <c r="I183" s="37">
        <f>INDEX(Table2[Harga Jual],MATCH(Table1[[#This Row],[SKU]],Table2[SKU],0))</f>
        <v>850000</v>
      </c>
      <c r="J183" s="37">
        <f>VLOOKUP(Table1[[#This Row],[SKU]],Table2[],4,FALSE)</f>
        <v>450000</v>
      </c>
      <c r="K183" s="37">
        <f>INDEX(Table3[Biaya Kirim per Unit],MATCH(Table1[[#This Row],[Kota]],Table3[Kota],))</f>
        <v>35000</v>
      </c>
      <c r="L183" s="39">
        <f>VLOOKUP(Table1[[#This Row],[Kode_Promo]],Table4[],2,FALSE)</f>
        <v>0.3</v>
      </c>
      <c r="M183" s="37">
        <f>Table1[[#This Row],[Jumlah_Unit]]*Table1[[#This Row],[Harga_Satuan]]</f>
        <v>4250000</v>
      </c>
      <c r="N183" s="37">
        <f>Table1[[#This Row],[Total_Pendapatan_Kotor]]*Table1[[#This Row],[Persentase_Diskon]]</f>
        <v>1275000</v>
      </c>
      <c r="O183" s="37">
        <f>Table1[[#This Row],[Total_Pendapatan_Kotor]]-Table1[[#This Row],[Potongan_Diskon]]</f>
        <v>2975000</v>
      </c>
      <c r="P183" s="37">
        <f>(Table1[[#This Row],[Jumlah_Unit]]*Table1[[#This Row],[HPP_Satuan]])+(Table1[[#This Row],[Jumlah_Unit]]*Table1[[#This Row],[Biaya_Kirim_Satuan]])</f>
        <v>2425000</v>
      </c>
      <c r="Q183" s="37">
        <f>Table1[[#This Row],[Total_Pendapatan_Bersih]]-Table1[[#This Row],[Total_Biaya]]</f>
        <v>550000</v>
      </c>
      <c r="R183" s="5">
        <f>Table1[[#This Row],[Laba_Kotor]]/Table1[[#This Row],[Total_Pendapatan_Bersih]]</f>
        <v>0.18487394957983194</v>
      </c>
    </row>
    <row r="184" spans="1:18" ht="20.25" thickBot="1" x14ac:dyDescent="0.6">
      <c r="A184" s="3" t="s">
        <v>213</v>
      </c>
      <c r="B184" s="21">
        <v>45840</v>
      </c>
      <c r="C184" s="1" t="s">
        <v>27</v>
      </c>
      <c r="D184" s="1" t="s">
        <v>28</v>
      </c>
      <c r="E184" s="2">
        <v>1</v>
      </c>
      <c r="F184" s="1" t="s">
        <v>29</v>
      </c>
      <c r="G184" s="1" t="str">
        <f>INDEX(Table2[Nama Produk],MATCH(Table1[[#This Row],[SKU]],Table2[SKU],0))</f>
        <v>Kursi Kerja Ergonomis</v>
      </c>
      <c r="H184" s="1" t="str">
        <f>VLOOKUP(Table1[[#This Row],[SKU]],Table2[],3,FALSE)</f>
        <v>Furnitur</v>
      </c>
      <c r="I184" s="37">
        <f>INDEX(Table2[Harga Jual],MATCH(Table1[[#This Row],[SKU]],Table2[SKU],0))</f>
        <v>2100000</v>
      </c>
      <c r="J184" s="37">
        <f>VLOOKUP(Table1[[#This Row],[SKU]],Table2[],4,FALSE)</f>
        <v>1200000</v>
      </c>
      <c r="K184" s="37">
        <f>INDEX(Table3[Biaya Kirim per Unit],MATCH(Table1[[#This Row],[Kota]],Table3[Kota],))</f>
        <v>50000</v>
      </c>
      <c r="L184" s="39">
        <f>VLOOKUP(Table1[[#This Row],[Kode_Promo]],Table4[],2,FALSE)</f>
        <v>0</v>
      </c>
      <c r="M184" s="37">
        <f>Table1[[#This Row],[Jumlah_Unit]]*Table1[[#This Row],[Harga_Satuan]]</f>
        <v>2100000</v>
      </c>
      <c r="N184" s="37">
        <f>Table1[[#This Row],[Total_Pendapatan_Kotor]]*Table1[[#This Row],[Persentase_Diskon]]</f>
        <v>0</v>
      </c>
      <c r="O184" s="37">
        <f>Table1[[#This Row],[Total_Pendapatan_Kotor]]-Table1[[#This Row],[Potongan_Diskon]]</f>
        <v>2100000</v>
      </c>
      <c r="P184" s="37">
        <f>(Table1[[#This Row],[Jumlah_Unit]]*Table1[[#This Row],[HPP_Satuan]])+(Table1[[#This Row],[Jumlah_Unit]]*Table1[[#This Row],[Biaya_Kirim_Satuan]])</f>
        <v>1250000</v>
      </c>
      <c r="Q184" s="37">
        <f>Table1[[#This Row],[Total_Pendapatan_Bersih]]-Table1[[#This Row],[Total_Biaya]]</f>
        <v>850000</v>
      </c>
      <c r="R184" s="5">
        <f>Table1[[#This Row],[Laba_Kotor]]/Table1[[#This Row],[Total_Pendapatan_Bersih]]</f>
        <v>0.40476190476190477</v>
      </c>
    </row>
    <row r="185" spans="1:18" ht="20.25" thickBot="1" x14ac:dyDescent="0.6">
      <c r="A185" s="3" t="s">
        <v>214</v>
      </c>
      <c r="B185" s="21">
        <v>45841</v>
      </c>
      <c r="C185" s="1" t="s">
        <v>31</v>
      </c>
      <c r="D185" s="1" t="s">
        <v>32</v>
      </c>
      <c r="E185" s="2">
        <v>2</v>
      </c>
      <c r="F185" s="1" t="s">
        <v>33</v>
      </c>
      <c r="G185" s="1" t="str">
        <f>INDEX(Table2[Nama Produk],MATCH(Table1[[#This Row],[SKU]],Table2[SKU],0))</f>
        <v>Monitor Ergonomis 27</v>
      </c>
      <c r="H185" s="1" t="str">
        <f>VLOOKUP(Table1[[#This Row],[SKU]],Table2[],3,FALSE)</f>
        <v>Elektronik</v>
      </c>
      <c r="I185" s="37">
        <f>INDEX(Table2[Harga Jual],MATCH(Table1[[#This Row],[SKU]],Table2[SKU],0))</f>
        <v>3400000</v>
      </c>
      <c r="J185" s="37">
        <f>VLOOKUP(Table1[[#This Row],[SKU]],Table2[],4,FALSE)</f>
        <v>2100000</v>
      </c>
      <c r="K185" s="37">
        <f>INDEX(Table3[Biaya Kirim per Unit],MATCH(Table1[[#This Row],[Kota]],Table3[Kota],))</f>
        <v>65000</v>
      </c>
      <c r="L185" s="39">
        <f>VLOOKUP(Table1[[#This Row],[Kode_Promo]],Table4[],2,FALSE)</f>
        <v>0.2</v>
      </c>
      <c r="M185" s="37">
        <f>Table1[[#This Row],[Jumlah_Unit]]*Table1[[#This Row],[Harga_Satuan]]</f>
        <v>6800000</v>
      </c>
      <c r="N185" s="37">
        <f>Table1[[#This Row],[Total_Pendapatan_Kotor]]*Table1[[#This Row],[Persentase_Diskon]]</f>
        <v>1360000</v>
      </c>
      <c r="O185" s="37">
        <f>Table1[[#This Row],[Total_Pendapatan_Kotor]]-Table1[[#This Row],[Potongan_Diskon]]</f>
        <v>5440000</v>
      </c>
      <c r="P185" s="37">
        <f>(Table1[[#This Row],[Jumlah_Unit]]*Table1[[#This Row],[HPP_Satuan]])+(Table1[[#This Row],[Jumlah_Unit]]*Table1[[#This Row],[Biaya_Kirim_Satuan]])</f>
        <v>4330000</v>
      </c>
      <c r="Q185" s="37">
        <f>Table1[[#This Row],[Total_Pendapatan_Bersih]]-Table1[[#This Row],[Total_Biaya]]</f>
        <v>1110000</v>
      </c>
      <c r="R185" s="5">
        <f>Table1[[#This Row],[Laba_Kotor]]/Table1[[#This Row],[Total_Pendapatan_Bersih]]</f>
        <v>0.20404411764705882</v>
      </c>
    </row>
    <row r="186" spans="1:18" ht="20.25" thickBot="1" x14ac:dyDescent="0.6">
      <c r="A186" s="3" t="s">
        <v>215</v>
      </c>
      <c r="B186" s="21">
        <v>45842</v>
      </c>
      <c r="C186" s="1" t="s">
        <v>19</v>
      </c>
      <c r="D186" s="1" t="s">
        <v>35</v>
      </c>
      <c r="E186" s="2">
        <v>3</v>
      </c>
      <c r="F186" s="1" t="s">
        <v>21</v>
      </c>
      <c r="G186" s="1" t="str">
        <f>INDEX(Table2[Nama Produk],MATCH(Table1[[#This Row],[SKU]],Table2[SKU],0))</f>
        <v>Meja Adjustable</v>
      </c>
      <c r="H186" s="1" t="str">
        <f>VLOOKUP(Table1[[#This Row],[SKU]],Table2[],3,FALSE)</f>
        <v>Furnitur</v>
      </c>
      <c r="I186" s="37">
        <f>INDEX(Table2[Harga Jual],MATCH(Table1[[#This Row],[SKU]],Table2[SKU],0))</f>
        <v>4200000</v>
      </c>
      <c r="J186" s="37">
        <f>VLOOKUP(Table1[[#This Row],[SKU]],Table2[],4,FALSE)</f>
        <v>2400000</v>
      </c>
      <c r="K186" s="37">
        <f>INDEX(Table3[Biaya Kirim per Unit],MATCH(Table1[[#This Row],[Kota]],Table3[Kota],))</f>
        <v>25000</v>
      </c>
      <c r="L186" s="39">
        <f>VLOOKUP(Table1[[#This Row],[Kode_Promo]],Table4[],2,FALSE)</f>
        <v>0.1</v>
      </c>
      <c r="M186" s="37">
        <f>Table1[[#This Row],[Jumlah_Unit]]*Table1[[#This Row],[Harga_Satuan]]</f>
        <v>12600000</v>
      </c>
      <c r="N186" s="37">
        <f>Table1[[#This Row],[Total_Pendapatan_Kotor]]*Table1[[#This Row],[Persentase_Diskon]]</f>
        <v>1260000</v>
      </c>
      <c r="O186" s="37">
        <f>Table1[[#This Row],[Total_Pendapatan_Kotor]]-Table1[[#This Row],[Potongan_Diskon]]</f>
        <v>11340000</v>
      </c>
      <c r="P186" s="37">
        <f>(Table1[[#This Row],[Jumlah_Unit]]*Table1[[#This Row],[HPP_Satuan]])+(Table1[[#This Row],[Jumlah_Unit]]*Table1[[#This Row],[Biaya_Kirim_Satuan]])</f>
        <v>7275000</v>
      </c>
      <c r="Q186" s="37">
        <f>Table1[[#This Row],[Total_Pendapatan_Bersih]]-Table1[[#This Row],[Total_Biaya]]</f>
        <v>4065000</v>
      </c>
      <c r="R186" s="5">
        <f>Table1[[#This Row],[Laba_Kotor]]/Table1[[#This Row],[Total_Pendapatan_Bersih]]</f>
        <v>0.35846560846560849</v>
      </c>
    </row>
    <row r="187" spans="1:18" ht="20.25" thickBot="1" x14ac:dyDescent="0.6">
      <c r="A187" s="3" t="s">
        <v>216</v>
      </c>
      <c r="B187" s="21">
        <v>45843</v>
      </c>
      <c r="C187" s="1" t="s">
        <v>23</v>
      </c>
      <c r="D187" s="1" t="s">
        <v>20</v>
      </c>
      <c r="E187" s="2">
        <v>1</v>
      </c>
      <c r="F187" s="1" t="s">
        <v>29</v>
      </c>
      <c r="G187" s="1" t="str">
        <f>INDEX(Table2[Nama Produk],MATCH(Table1[[#This Row],[SKU]],Table2[SKU],0))</f>
        <v>Laptop Pro 14</v>
      </c>
      <c r="H187" s="1" t="str">
        <f>VLOOKUP(Table1[[#This Row],[SKU]],Table2[],3,FALSE)</f>
        <v>Elektronik</v>
      </c>
      <c r="I187" s="37">
        <f>INDEX(Table2[Harga Jual],MATCH(Table1[[#This Row],[SKU]],Table2[SKU],0))</f>
        <v>12000000</v>
      </c>
      <c r="J187" s="37">
        <f>VLOOKUP(Table1[[#This Row],[SKU]],Table2[],4,FALSE)</f>
        <v>8500000</v>
      </c>
      <c r="K187" s="37">
        <f>INDEX(Table3[Biaya Kirim per Unit],MATCH(Table1[[#This Row],[Kota]],Table3[Kota],))</f>
        <v>35000</v>
      </c>
      <c r="L187" s="39">
        <f>VLOOKUP(Table1[[#This Row],[Kode_Promo]],Table4[],2,FALSE)</f>
        <v>0</v>
      </c>
      <c r="M187" s="37">
        <f>Table1[[#This Row],[Jumlah_Unit]]*Table1[[#This Row],[Harga_Satuan]]</f>
        <v>12000000</v>
      </c>
      <c r="N187" s="37">
        <f>Table1[[#This Row],[Total_Pendapatan_Kotor]]*Table1[[#This Row],[Persentase_Diskon]]</f>
        <v>0</v>
      </c>
      <c r="O187" s="37">
        <f>Table1[[#This Row],[Total_Pendapatan_Kotor]]-Table1[[#This Row],[Potongan_Diskon]]</f>
        <v>12000000</v>
      </c>
      <c r="P187" s="37">
        <f>(Table1[[#This Row],[Jumlah_Unit]]*Table1[[#This Row],[HPP_Satuan]])+(Table1[[#This Row],[Jumlah_Unit]]*Table1[[#This Row],[Biaya_Kirim_Satuan]])</f>
        <v>8535000</v>
      </c>
      <c r="Q187" s="37">
        <f>Table1[[#This Row],[Total_Pendapatan_Bersih]]-Table1[[#This Row],[Total_Biaya]]</f>
        <v>3465000</v>
      </c>
      <c r="R187" s="5">
        <f>Table1[[#This Row],[Laba_Kotor]]/Table1[[#This Row],[Total_Pendapatan_Bersih]]</f>
        <v>0.28875000000000001</v>
      </c>
    </row>
    <row r="188" spans="1:18" ht="20.25" thickBot="1" x14ac:dyDescent="0.6">
      <c r="A188" s="3" t="s">
        <v>217</v>
      </c>
      <c r="B188" s="21">
        <v>45844</v>
      </c>
      <c r="C188" s="1" t="s">
        <v>27</v>
      </c>
      <c r="D188" s="1" t="s">
        <v>24</v>
      </c>
      <c r="E188" s="2">
        <v>6</v>
      </c>
      <c r="F188" s="1" t="s">
        <v>25</v>
      </c>
      <c r="G188" s="1" t="str">
        <f>INDEX(Table2[Nama Produk],MATCH(Table1[[#This Row],[SKU]],Table2[SKU],0))</f>
        <v>Mechanical Keyboard</v>
      </c>
      <c r="H188" s="1" t="str">
        <f>VLOOKUP(Table1[[#This Row],[SKU]],Table2[],3,FALSE)</f>
        <v>Aksesori</v>
      </c>
      <c r="I188" s="37">
        <f>INDEX(Table2[Harga Jual],MATCH(Table1[[#This Row],[SKU]],Table2[SKU],0))</f>
        <v>850000</v>
      </c>
      <c r="J188" s="37">
        <f>VLOOKUP(Table1[[#This Row],[SKU]],Table2[],4,FALSE)</f>
        <v>450000</v>
      </c>
      <c r="K188" s="37">
        <f>INDEX(Table3[Biaya Kirim per Unit],MATCH(Table1[[#This Row],[Kota]],Table3[Kota],))</f>
        <v>50000</v>
      </c>
      <c r="L188" s="39">
        <f>VLOOKUP(Table1[[#This Row],[Kode_Promo]],Table4[],2,FALSE)</f>
        <v>0.3</v>
      </c>
      <c r="M188" s="37">
        <f>Table1[[#This Row],[Jumlah_Unit]]*Table1[[#This Row],[Harga_Satuan]]</f>
        <v>5100000</v>
      </c>
      <c r="N188" s="37">
        <f>Table1[[#This Row],[Total_Pendapatan_Kotor]]*Table1[[#This Row],[Persentase_Diskon]]</f>
        <v>1530000</v>
      </c>
      <c r="O188" s="37">
        <f>Table1[[#This Row],[Total_Pendapatan_Kotor]]-Table1[[#This Row],[Potongan_Diskon]]</f>
        <v>3570000</v>
      </c>
      <c r="P188" s="37">
        <f>(Table1[[#This Row],[Jumlah_Unit]]*Table1[[#This Row],[HPP_Satuan]])+(Table1[[#This Row],[Jumlah_Unit]]*Table1[[#This Row],[Biaya_Kirim_Satuan]])</f>
        <v>3000000</v>
      </c>
      <c r="Q188" s="37">
        <f>Table1[[#This Row],[Total_Pendapatan_Bersih]]-Table1[[#This Row],[Total_Biaya]]</f>
        <v>570000</v>
      </c>
      <c r="R188" s="5">
        <f>Table1[[#This Row],[Laba_Kotor]]/Table1[[#This Row],[Total_Pendapatan_Bersih]]</f>
        <v>0.15966386554621848</v>
      </c>
    </row>
    <row r="189" spans="1:18" ht="20.25" thickBot="1" x14ac:dyDescent="0.6">
      <c r="A189" s="3" t="s">
        <v>218</v>
      </c>
      <c r="B189" s="21">
        <v>45845</v>
      </c>
      <c r="C189" s="1" t="s">
        <v>31</v>
      </c>
      <c r="D189" s="1" t="s">
        <v>35</v>
      </c>
      <c r="E189" s="2">
        <v>4</v>
      </c>
      <c r="F189" s="1" t="s">
        <v>33</v>
      </c>
      <c r="G189" s="1" t="str">
        <f>INDEX(Table2[Nama Produk],MATCH(Table1[[#This Row],[SKU]],Table2[SKU],0))</f>
        <v>Meja Adjustable</v>
      </c>
      <c r="H189" s="1" t="str">
        <f>VLOOKUP(Table1[[#This Row],[SKU]],Table2[],3,FALSE)</f>
        <v>Furnitur</v>
      </c>
      <c r="I189" s="37">
        <f>INDEX(Table2[Harga Jual],MATCH(Table1[[#This Row],[SKU]],Table2[SKU],0))</f>
        <v>4200000</v>
      </c>
      <c r="J189" s="37">
        <f>VLOOKUP(Table1[[#This Row],[SKU]],Table2[],4,FALSE)</f>
        <v>2400000</v>
      </c>
      <c r="K189" s="37">
        <f>INDEX(Table3[Biaya Kirim per Unit],MATCH(Table1[[#This Row],[Kota]],Table3[Kota],))</f>
        <v>65000</v>
      </c>
      <c r="L189" s="39">
        <f>VLOOKUP(Table1[[#This Row],[Kode_Promo]],Table4[],2,FALSE)</f>
        <v>0.2</v>
      </c>
      <c r="M189" s="37">
        <f>Table1[[#This Row],[Jumlah_Unit]]*Table1[[#This Row],[Harga_Satuan]]</f>
        <v>16800000</v>
      </c>
      <c r="N189" s="37">
        <f>Table1[[#This Row],[Total_Pendapatan_Kotor]]*Table1[[#This Row],[Persentase_Diskon]]</f>
        <v>3360000</v>
      </c>
      <c r="O189" s="37">
        <f>Table1[[#This Row],[Total_Pendapatan_Kotor]]-Table1[[#This Row],[Potongan_Diskon]]</f>
        <v>13440000</v>
      </c>
      <c r="P189" s="37">
        <f>(Table1[[#This Row],[Jumlah_Unit]]*Table1[[#This Row],[HPP_Satuan]])+(Table1[[#This Row],[Jumlah_Unit]]*Table1[[#This Row],[Biaya_Kirim_Satuan]])</f>
        <v>9860000</v>
      </c>
      <c r="Q189" s="37">
        <f>Table1[[#This Row],[Total_Pendapatan_Bersih]]-Table1[[#This Row],[Total_Biaya]]</f>
        <v>3580000</v>
      </c>
      <c r="R189" s="5">
        <f>Table1[[#This Row],[Laba_Kotor]]/Table1[[#This Row],[Total_Pendapatan_Bersih]]</f>
        <v>0.26636904761904762</v>
      </c>
    </row>
    <row r="190" spans="1:18" ht="20.25" thickBot="1" x14ac:dyDescent="0.6">
      <c r="A190" s="3" t="s">
        <v>219</v>
      </c>
      <c r="B190" s="21">
        <v>45846</v>
      </c>
      <c r="C190" s="1" t="s">
        <v>19</v>
      </c>
      <c r="D190" s="1" t="s">
        <v>32</v>
      </c>
      <c r="E190" s="2">
        <v>2</v>
      </c>
      <c r="F190" s="1" t="s">
        <v>21</v>
      </c>
      <c r="G190" s="1" t="str">
        <f>INDEX(Table2[Nama Produk],MATCH(Table1[[#This Row],[SKU]],Table2[SKU],0))</f>
        <v>Monitor Ergonomis 27</v>
      </c>
      <c r="H190" s="1" t="str">
        <f>VLOOKUP(Table1[[#This Row],[SKU]],Table2[],3,FALSE)</f>
        <v>Elektronik</v>
      </c>
      <c r="I190" s="37">
        <f>INDEX(Table2[Harga Jual],MATCH(Table1[[#This Row],[SKU]],Table2[SKU],0))</f>
        <v>3400000</v>
      </c>
      <c r="J190" s="37">
        <f>VLOOKUP(Table1[[#This Row],[SKU]],Table2[],4,FALSE)</f>
        <v>2100000</v>
      </c>
      <c r="K190" s="37">
        <f>INDEX(Table3[Biaya Kirim per Unit],MATCH(Table1[[#This Row],[Kota]],Table3[Kota],))</f>
        <v>25000</v>
      </c>
      <c r="L190" s="39">
        <f>VLOOKUP(Table1[[#This Row],[Kode_Promo]],Table4[],2,FALSE)</f>
        <v>0.1</v>
      </c>
      <c r="M190" s="37">
        <f>Table1[[#This Row],[Jumlah_Unit]]*Table1[[#This Row],[Harga_Satuan]]</f>
        <v>6800000</v>
      </c>
      <c r="N190" s="37">
        <f>Table1[[#This Row],[Total_Pendapatan_Kotor]]*Table1[[#This Row],[Persentase_Diskon]]</f>
        <v>680000</v>
      </c>
      <c r="O190" s="37">
        <f>Table1[[#This Row],[Total_Pendapatan_Kotor]]-Table1[[#This Row],[Potongan_Diskon]]</f>
        <v>6120000</v>
      </c>
      <c r="P190" s="37">
        <f>(Table1[[#This Row],[Jumlah_Unit]]*Table1[[#This Row],[HPP_Satuan]])+(Table1[[#This Row],[Jumlah_Unit]]*Table1[[#This Row],[Biaya_Kirim_Satuan]])</f>
        <v>4250000</v>
      </c>
      <c r="Q190" s="37">
        <f>Table1[[#This Row],[Total_Pendapatan_Bersih]]-Table1[[#This Row],[Total_Biaya]]</f>
        <v>1870000</v>
      </c>
      <c r="R190" s="5">
        <f>Table1[[#This Row],[Laba_Kotor]]/Table1[[#This Row],[Total_Pendapatan_Bersih]]</f>
        <v>0.30555555555555558</v>
      </c>
    </row>
    <row r="191" spans="1:18" ht="20.25" thickBot="1" x14ac:dyDescent="0.6">
      <c r="A191" s="3" t="s">
        <v>220</v>
      </c>
      <c r="B191" s="21">
        <v>45847</v>
      </c>
      <c r="C191" s="1" t="s">
        <v>23</v>
      </c>
      <c r="D191" s="1" t="s">
        <v>28</v>
      </c>
      <c r="E191" s="2">
        <v>3</v>
      </c>
      <c r="F191" s="1" t="s">
        <v>25</v>
      </c>
      <c r="G191" s="1" t="str">
        <f>INDEX(Table2[Nama Produk],MATCH(Table1[[#This Row],[SKU]],Table2[SKU],0))</f>
        <v>Kursi Kerja Ergonomis</v>
      </c>
      <c r="H191" s="1" t="str">
        <f>VLOOKUP(Table1[[#This Row],[SKU]],Table2[],3,FALSE)</f>
        <v>Furnitur</v>
      </c>
      <c r="I191" s="37">
        <f>INDEX(Table2[Harga Jual],MATCH(Table1[[#This Row],[SKU]],Table2[SKU],0))</f>
        <v>2100000</v>
      </c>
      <c r="J191" s="37">
        <f>VLOOKUP(Table1[[#This Row],[SKU]],Table2[],4,FALSE)</f>
        <v>1200000</v>
      </c>
      <c r="K191" s="37">
        <f>INDEX(Table3[Biaya Kirim per Unit],MATCH(Table1[[#This Row],[Kota]],Table3[Kota],))</f>
        <v>35000</v>
      </c>
      <c r="L191" s="39">
        <f>VLOOKUP(Table1[[#This Row],[Kode_Promo]],Table4[],2,FALSE)</f>
        <v>0.3</v>
      </c>
      <c r="M191" s="37">
        <f>Table1[[#This Row],[Jumlah_Unit]]*Table1[[#This Row],[Harga_Satuan]]</f>
        <v>6300000</v>
      </c>
      <c r="N191" s="37">
        <f>Table1[[#This Row],[Total_Pendapatan_Kotor]]*Table1[[#This Row],[Persentase_Diskon]]</f>
        <v>1890000</v>
      </c>
      <c r="O191" s="37">
        <f>Table1[[#This Row],[Total_Pendapatan_Kotor]]-Table1[[#This Row],[Potongan_Diskon]]</f>
        <v>4410000</v>
      </c>
      <c r="P191" s="37">
        <f>(Table1[[#This Row],[Jumlah_Unit]]*Table1[[#This Row],[HPP_Satuan]])+(Table1[[#This Row],[Jumlah_Unit]]*Table1[[#This Row],[Biaya_Kirim_Satuan]])</f>
        <v>3705000</v>
      </c>
      <c r="Q191" s="37">
        <f>Table1[[#This Row],[Total_Pendapatan_Bersih]]-Table1[[#This Row],[Total_Biaya]]</f>
        <v>705000</v>
      </c>
      <c r="R191" s="5">
        <f>Table1[[#This Row],[Laba_Kotor]]/Table1[[#This Row],[Total_Pendapatan_Bersih]]</f>
        <v>0.1598639455782313</v>
      </c>
    </row>
    <row r="192" spans="1:18" ht="20.25" thickBot="1" x14ac:dyDescent="0.6">
      <c r="A192" s="3" t="s">
        <v>221</v>
      </c>
      <c r="B192" s="21">
        <v>45848</v>
      </c>
      <c r="C192" s="1" t="s">
        <v>27</v>
      </c>
      <c r="D192" s="1" t="s">
        <v>20</v>
      </c>
      <c r="E192" s="2">
        <v>2</v>
      </c>
      <c r="F192" s="1" t="s">
        <v>29</v>
      </c>
      <c r="G192" s="1" t="str">
        <f>INDEX(Table2[Nama Produk],MATCH(Table1[[#This Row],[SKU]],Table2[SKU],0))</f>
        <v>Laptop Pro 14</v>
      </c>
      <c r="H192" s="1" t="str">
        <f>VLOOKUP(Table1[[#This Row],[SKU]],Table2[],3,FALSE)</f>
        <v>Elektronik</v>
      </c>
      <c r="I192" s="37">
        <f>INDEX(Table2[Harga Jual],MATCH(Table1[[#This Row],[SKU]],Table2[SKU],0))</f>
        <v>12000000</v>
      </c>
      <c r="J192" s="37">
        <f>VLOOKUP(Table1[[#This Row],[SKU]],Table2[],4,FALSE)</f>
        <v>8500000</v>
      </c>
      <c r="K192" s="37">
        <f>INDEX(Table3[Biaya Kirim per Unit],MATCH(Table1[[#This Row],[Kota]],Table3[Kota],))</f>
        <v>50000</v>
      </c>
      <c r="L192" s="39">
        <f>VLOOKUP(Table1[[#This Row],[Kode_Promo]],Table4[],2,FALSE)</f>
        <v>0</v>
      </c>
      <c r="M192" s="37">
        <f>Table1[[#This Row],[Jumlah_Unit]]*Table1[[#This Row],[Harga_Satuan]]</f>
        <v>24000000</v>
      </c>
      <c r="N192" s="37">
        <f>Table1[[#This Row],[Total_Pendapatan_Kotor]]*Table1[[#This Row],[Persentase_Diskon]]</f>
        <v>0</v>
      </c>
      <c r="O192" s="37">
        <f>Table1[[#This Row],[Total_Pendapatan_Kotor]]-Table1[[#This Row],[Potongan_Diskon]]</f>
        <v>24000000</v>
      </c>
      <c r="P192" s="37">
        <f>(Table1[[#This Row],[Jumlah_Unit]]*Table1[[#This Row],[HPP_Satuan]])+(Table1[[#This Row],[Jumlah_Unit]]*Table1[[#This Row],[Biaya_Kirim_Satuan]])</f>
        <v>17100000</v>
      </c>
      <c r="Q192" s="37">
        <f>Table1[[#This Row],[Total_Pendapatan_Bersih]]-Table1[[#This Row],[Total_Biaya]]</f>
        <v>6900000</v>
      </c>
      <c r="R192" s="5">
        <f>Table1[[#This Row],[Laba_Kotor]]/Table1[[#This Row],[Total_Pendapatan_Bersih]]</f>
        <v>0.28749999999999998</v>
      </c>
    </row>
    <row r="193" spans="1:18" ht="20.25" thickBot="1" x14ac:dyDescent="0.6">
      <c r="A193" s="3" t="s">
        <v>222</v>
      </c>
      <c r="B193" s="21">
        <v>45849</v>
      </c>
      <c r="C193" s="1" t="s">
        <v>31</v>
      </c>
      <c r="D193" s="1" t="s">
        <v>24</v>
      </c>
      <c r="E193" s="2">
        <v>7</v>
      </c>
      <c r="F193" s="1" t="s">
        <v>33</v>
      </c>
      <c r="G193" s="1" t="str">
        <f>INDEX(Table2[Nama Produk],MATCH(Table1[[#This Row],[SKU]],Table2[SKU],0))</f>
        <v>Mechanical Keyboard</v>
      </c>
      <c r="H193" s="1" t="str">
        <f>VLOOKUP(Table1[[#This Row],[SKU]],Table2[],3,FALSE)</f>
        <v>Aksesori</v>
      </c>
      <c r="I193" s="37">
        <f>INDEX(Table2[Harga Jual],MATCH(Table1[[#This Row],[SKU]],Table2[SKU],0))</f>
        <v>850000</v>
      </c>
      <c r="J193" s="37">
        <f>VLOOKUP(Table1[[#This Row],[SKU]],Table2[],4,FALSE)</f>
        <v>450000</v>
      </c>
      <c r="K193" s="37">
        <f>INDEX(Table3[Biaya Kirim per Unit],MATCH(Table1[[#This Row],[Kota]],Table3[Kota],))</f>
        <v>65000</v>
      </c>
      <c r="L193" s="39">
        <f>VLOOKUP(Table1[[#This Row],[Kode_Promo]],Table4[],2,FALSE)</f>
        <v>0.2</v>
      </c>
      <c r="M193" s="37">
        <f>Table1[[#This Row],[Jumlah_Unit]]*Table1[[#This Row],[Harga_Satuan]]</f>
        <v>5950000</v>
      </c>
      <c r="N193" s="37">
        <f>Table1[[#This Row],[Total_Pendapatan_Kotor]]*Table1[[#This Row],[Persentase_Diskon]]</f>
        <v>1190000</v>
      </c>
      <c r="O193" s="37">
        <f>Table1[[#This Row],[Total_Pendapatan_Kotor]]-Table1[[#This Row],[Potongan_Diskon]]</f>
        <v>4760000</v>
      </c>
      <c r="P193" s="37">
        <f>(Table1[[#This Row],[Jumlah_Unit]]*Table1[[#This Row],[HPP_Satuan]])+(Table1[[#This Row],[Jumlah_Unit]]*Table1[[#This Row],[Biaya_Kirim_Satuan]])</f>
        <v>3605000</v>
      </c>
      <c r="Q193" s="37">
        <f>Table1[[#This Row],[Total_Pendapatan_Bersih]]-Table1[[#This Row],[Total_Biaya]]</f>
        <v>1155000</v>
      </c>
      <c r="R193" s="5">
        <f>Table1[[#This Row],[Laba_Kotor]]/Table1[[#This Row],[Total_Pendapatan_Bersih]]</f>
        <v>0.24264705882352941</v>
      </c>
    </row>
    <row r="194" spans="1:18" ht="20.25" thickBot="1" x14ac:dyDescent="0.6">
      <c r="A194" s="3" t="s">
        <v>223</v>
      </c>
      <c r="B194" s="21">
        <v>45850</v>
      </c>
      <c r="C194" s="1" t="s">
        <v>19</v>
      </c>
      <c r="D194" s="1" t="s">
        <v>28</v>
      </c>
      <c r="E194" s="2">
        <v>4</v>
      </c>
      <c r="F194" s="1" t="s">
        <v>21</v>
      </c>
      <c r="G194" s="1" t="str">
        <f>INDEX(Table2[Nama Produk],MATCH(Table1[[#This Row],[SKU]],Table2[SKU],0))</f>
        <v>Kursi Kerja Ergonomis</v>
      </c>
      <c r="H194" s="1" t="str">
        <f>VLOOKUP(Table1[[#This Row],[SKU]],Table2[],3,FALSE)</f>
        <v>Furnitur</v>
      </c>
      <c r="I194" s="37">
        <f>INDEX(Table2[Harga Jual],MATCH(Table1[[#This Row],[SKU]],Table2[SKU],0))</f>
        <v>2100000</v>
      </c>
      <c r="J194" s="37">
        <f>VLOOKUP(Table1[[#This Row],[SKU]],Table2[],4,FALSE)</f>
        <v>1200000</v>
      </c>
      <c r="K194" s="37">
        <f>INDEX(Table3[Biaya Kirim per Unit],MATCH(Table1[[#This Row],[Kota]],Table3[Kota],))</f>
        <v>25000</v>
      </c>
      <c r="L194" s="39">
        <f>VLOOKUP(Table1[[#This Row],[Kode_Promo]],Table4[],2,FALSE)</f>
        <v>0.1</v>
      </c>
      <c r="M194" s="37">
        <f>Table1[[#This Row],[Jumlah_Unit]]*Table1[[#This Row],[Harga_Satuan]]</f>
        <v>8400000</v>
      </c>
      <c r="N194" s="37">
        <f>Table1[[#This Row],[Total_Pendapatan_Kotor]]*Table1[[#This Row],[Persentase_Diskon]]</f>
        <v>840000</v>
      </c>
      <c r="O194" s="37">
        <f>Table1[[#This Row],[Total_Pendapatan_Kotor]]-Table1[[#This Row],[Potongan_Diskon]]</f>
        <v>7560000</v>
      </c>
      <c r="P194" s="37">
        <f>(Table1[[#This Row],[Jumlah_Unit]]*Table1[[#This Row],[HPP_Satuan]])+(Table1[[#This Row],[Jumlah_Unit]]*Table1[[#This Row],[Biaya_Kirim_Satuan]])</f>
        <v>4900000</v>
      </c>
      <c r="Q194" s="37">
        <f>Table1[[#This Row],[Total_Pendapatan_Bersih]]-Table1[[#This Row],[Total_Biaya]]</f>
        <v>2660000</v>
      </c>
      <c r="R194" s="5">
        <f>Table1[[#This Row],[Laba_Kotor]]/Table1[[#This Row],[Total_Pendapatan_Bersih]]</f>
        <v>0.35185185185185186</v>
      </c>
    </row>
    <row r="195" spans="1:18" ht="20.25" thickBot="1" x14ac:dyDescent="0.6">
      <c r="A195" s="3" t="s">
        <v>224</v>
      </c>
      <c r="B195" s="21">
        <v>45851</v>
      </c>
      <c r="C195" s="1" t="s">
        <v>23</v>
      </c>
      <c r="D195" s="1" t="s">
        <v>32</v>
      </c>
      <c r="E195" s="2">
        <v>1</v>
      </c>
      <c r="F195" s="1" t="s">
        <v>25</v>
      </c>
      <c r="G195" s="1" t="str">
        <f>INDEX(Table2[Nama Produk],MATCH(Table1[[#This Row],[SKU]],Table2[SKU],0))</f>
        <v>Monitor Ergonomis 27</v>
      </c>
      <c r="H195" s="1" t="str">
        <f>VLOOKUP(Table1[[#This Row],[SKU]],Table2[],3,FALSE)</f>
        <v>Elektronik</v>
      </c>
      <c r="I195" s="37">
        <f>INDEX(Table2[Harga Jual],MATCH(Table1[[#This Row],[SKU]],Table2[SKU],0))</f>
        <v>3400000</v>
      </c>
      <c r="J195" s="37">
        <f>VLOOKUP(Table1[[#This Row],[SKU]],Table2[],4,FALSE)</f>
        <v>2100000</v>
      </c>
      <c r="K195" s="37">
        <f>INDEX(Table3[Biaya Kirim per Unit],MATCH(Table1[[#This Row],[Kota]],Table3[Kota],))</f>
        <v>35000</v>
      </c>
      <c r="L195" s="39">
        <f>VLOOKUP(Table1[[#This Row],[Kode_Promo]],Table4[],2,FALSE)</f>
        <v>0.3</v>
      </c>
      <c r="M195" s="37">
        <f>Table1[[#This Row],[Jumlah_Unit]]*Table1[[#This Row],[Harga_Satuan]]</f>
        <v>3400000</v>
      </c>
      <c r="N195" s="37">
        <f>Table1[[#This Row],[Total_Pendapatan_Kotor]]*Table1[[#This Row],[Persentase_Diskon]]</f>
        <v>1020000</v>
      </c>
      <c r="O195" s="37">
        <f>Table1[[#This Row],[Total_Pendapatan_Kotor]]-Table1[[#This Row],[Potongan_Diskon]]</f>
        <v>2380000</v>
      </c>
      <c r="P195" s="37">
        <f>(Table1[[#This Row],[Jumlah_Unit]]*Table1[[#This Row],[HPP_Satuan]])+(Table1[[#This Row],[Jumlah_Unit]]*Table1[[#This Row],[Biaya_Kirim_Satuan]])</f>
        <v>2135000</v>
      </c>
      <c r="Q195" s="37">
        <f>Table1[[#This Row],[Total_Pendapatan_Bersih]]-Table1[[#This Row],[Total_Biaya]]</f>
        <v>245000</v>
      </c>
      <c r="R195" s="5">
        <f>Table1[[#This Row],[Laba_Kotor]]/Table1[[#This Row],[Total_Pendapatan_Bersih]]</f>
        <v>0.10294117647058823</v>
      </c>
    </row>
    <row r="196" spans="1:18" ht="20.25" thickBot="1" x14ac:dyDescent="0.6">
      <c r="A196" s="3" t="s">
        <v>225</v>
      </c>
      <c r="B196" s="21">
        <v>45852</v>
      </c>
      <c r="C196" s="1" t="s">
        <v>27</v>
      </c>
      <c r="D196" s="1" t="s">
        <v>35</v>
      </c>
      <c r="E196" s="2">
        <v>2</v>
      </c>
      <c r="F196" s="1" t="s">
        <v>29</v>
      </c>
      <c r="G196" s="1" t="str">
        <f>INDEX(Table2[Nama Produk],MATCH(Table1[[#This Row],[SKU]],Table2[SKU],0))</f>
        <v>Meja Adjustable</v>
      </c>
      <c r="H196" s="1" t="str">
        <f>VLOOKUP(Table1[[#This Row],[SKU]],Table2[],3,FALSE)</f>
        <v>Furnitur</v>
      </c>
      <c r="I196" s="37">
        <f>INDEX(Table2[Harga Jual],MATCH(Table1[[#This Row],[SKU]],Table2[SKU],0))</f>
        <v>4200000</v>
      </c>
      <c r="J196" s="37">
        <f>VLOOKUP(Table1[[#This Row],[SKU]],Table2[],4,FALSE)</f>
        <v>2400000</v>
      </c>
      <c r="K196" s="37">
        <f>INDEX(Table3[Biaya Kirim per Unit],MATCH(Table1[[#This Row],[Kota]],Table3[Kota],))</f>
        <v>50000</v>
      </c>
      <c r="L196" s="39">
        <f>VLOOKUP(Table1[[#This Row],[Kode_Promo]],Table4[],2,FALSE)</f>
        <v>0</v>
      </c>
      <c r="M196" s="37">
        <f>Table1[[#This Row],[Jumlah_Unit]]*Table1[[#This Row],[Harga_Satuan]]</f>
        <v>8400000</v>
      </c>
      <c r="N196" s="37">
        <f>Table1[[#This Row],[Total_Pendapatan_Kotor]]*Table1[[#This Row],[Persentase_Diskon]]</f>
        <v>0</v>
      </c>
      <c r="O196" s="37">
        <f>Table1[[#This Row],[Total_Pendapatan_Kotor]]-Table1[[#This Row],[Potongan_Diskon]]</f>
        <v>8400000</v>
      </c>
      <c r="P196" s="37">
        <f>(Table1[[#This Row],[Jumlah_Unit]]*Table1[[#This Row],[HPP_Satuan]])+(Table1[[#This Row],[Jumlah_Unit]]*Table1[[#This Row],[Biaya_Kirim_Satuan]])</f>
        <v>4900000</v>
      </c>
      <c r="Q196" s="37">
        <f>Table1[[#This Row],[Total_Pendapatan_Bersih]]-Table1[[#This Row],[Total_Biaya]]</f>
        <v>3500000</v>
      </c>
      <c r="R196" s="5">
        <f>Table1[[#This Row],[Laba_Kotor]]/Table1[[#This Row],[Total_Pendapatan_Bersih]]</f>
        <v>0.41666666666666669</v>
      </c>
    </row>
    <row r="197" spans="1:18" ht="20.25" thickBot="1" x14ac:dyDescent="0.6">
      <c r="A197" s="3" t="s">
        <v>226</v>
      </c>
      <c r="B197" s="21">
        <v>45853</v>
      </c>
      <c r="C197" s="1" t="s">
        <v>31</v>
      </c>
      <c r="D197" s="1" t="s">
        <v>20</v>
      </c>
      <c r="E197" s="2">
        <v>3</v>
      </c>
      <c r="F197" s="1" t="s">
        <v>33</v>
      </c>
      <c r="G197" s="1" t="str">
        <f>INDEX(Table2[Nama Produk],MATCH(Table1[[#This Row],[SKU]],Table2[SKU],0))</f>
        <v>Laptop Pro 14</v>
      </c>
      <c r="H197" s="1" t="str">
        <f>VLOOKUP(Table1[[#This Row],[SKU]],Table2[],3,FALSE)</f>
        <v>Elektronik</v>
      </c>
      <c r="I197" s="37">
        <f>INDEX(Table2[Harga Jual],MATCH(Table1[[#This Row],[SKU]],Table2[SKU],0))</f>
        <v>12000000</v>
      </c>
      <c r="J197" s="37">
        <f>VLOOKUP(Table1[[#This Row],[SKU]],Table2[],4,FALSE)</f>
        <v>8500000</v>
      </c>
      <c r="K197" s="37">
        <f>INDEX(Table3[Biaya Kirim per Unit],MATCH(Table1[[#This Row],[Kota]],Table3[Kota],))</f>
        <v>65000</v>
      </c>
      <c r="L197" s="39">
        <f>VLOOKUP(Table1[[#This Row],[Kode_Promo]],Table4[],2,FALSE)</f>
        <v>0.2</v>
      </c>
      <c r="M197" s="37">
        <f>Table1[[#This Row],[Jumlah_Unit]]*Table1[[#This Row],[Harga_Satuan]]</f>
        <v>36000000</v>
      </c>
      <c r="N197" s="37">
        <f>Table1[[#This Row],[Total_Pendapatan_Kotor]]*Table1[[#This Row],[Persentase_Diskon]]</f>
        <v>7200000</v>
      </c>
      <c r="O197" s="37">
        <f>Table1[[#This Row],[Total_Pendapatan_Kotor]]-Table1[[#This Row],[Potongan_Diskon]]</f>
        <v>28800000</v>
      </c>
      <c r="P197" s="37">
        <f>(Table1[[#This Row],[Jumlah_Unit]]*Table1[[#This Row],[HPP_Satuan]])+(Table1[[#This Row],[Jumlah_Unit]]*Table1[[#This Row],[Biaya_Kirim_Satuan]])</f>
        <v>25695000</v>
      </c>
      <c r="Q197" s="37">
        <f>Table1[[#This Row],[Total_Pendapatan_Bersih]]-Table1[[#This Row],[Total_Biaya]]</f>
        <v>3105000</v>
      </c>
      <c r="R197" s="5">
        <f>Table1[[#This Row],[Laba_Kotor]]/Table1[[#This Row],[Total_Pendapatan_Bersih]]</f>
        <v>0.10781250000000001</v>
      </c>
    </row>
    <row r="198" spans="1:18" ht="20.25" thickBot="1" x14ac:dyDescent="0.6">
      <c r="A198" s="3" t="s">
        <v>227</v>
      </c>
      <c r="B198" s="21">
        <v>45854</v>
      </c>
      <c r="C198" s="1" t="s">
        <v>19</v>
      </c>
      <c r="D198" s="1" t="s">
        <v>24</v>
      </c>
      <c r="E198" s="2">
        <v>5</v>
      </c>
      <c r="F198" s="1" t="s">
        <v>21</v>
      </c>
      <c r="G198" s="1" t="str">
        <f>INDEX(Table2[Nama Produk],MATCH(Table1[[#This Row],[SKU]],Table2[SKU],0))</f>
        <v>Mechanical Keyboard</v>
      </c>
      <c r="H198" s="1" t="str">
        <f>VLOOKUP(Table1[[#This Row],[SKU]],Table2[],3,FALSE)</f>
        <v>Aksesori</v>
      </c>
      <c r="I198" s="37">
        <f>INDEX(Table2[Harga Jual],MATCH(Table1[[#This Row],[SKU]],Table2[SKU],0))</f>
        <v>850000</v>
      </c>
      <c r="J198" s="37">
        <f>VLOOKUP(Table1[[#This Row],[SKU]],Table2[],4,FALSE)</f>
        <v>450000</v>
      </c>
      <c r="K198" s="37">
        <f>INDEX(Table3[Biaya Kirim per Unit],MATCH(Table1[[#This Row],[Kota]],Table3[Kota],))</f>
        <v>25000</v>
      </c>
      <c r="L198" s="39">
        <f>VLOOKUP(Table1[[#This Row],[Kode_Promo]],Table4[],2,FALSE)</f>
        <v>0.1</v>
      </c>
      <c r="M198" s="37">
        <f>Table1[[#This Row],[Jumlah_Unit]]*Table1[[#This Row],[Harga_Satuan]]</f>
        <v>4250000</v>
      </c>
      <c r="N198" s="37">
        <f>Table1[[#This Row],[Total_Pendapatan_Kotor]]*Table1[[#This Row],[Persentase_Diskon]]</f>
        <v>425000</v>
      </c>
      <c r="O198" s="37">
        <f>Table1[[#This Row],[Total_Pendapatan_Kotor]]-Table1[[#This Row],[Potongan_Diskon]]</f>
        <v>3825000</v>
      </c>
      <c r="P198" s="37">
        <f>(Table1[[#This Row],[Jumlah_Unit]]*Table1[[#This Row],[HPP_Satuan]])+(Table1[[#This Row],[Jumlah_Unit]]*Table1[[#This Row],[Biaya_Kirim_Satuan]])</f>
        <v>2375000</v>
      </c>
      <c r="Q198" s="37">
        <f>Table1[[#This Row],[Total_Pendapatan_Bersih]]-Table1[[#This Row],[Total_Biaya]]</f>
        <v>1450000</v>
      </c>
      <c r="R198" s="5">
        <f>Table1[[#This Row],[Laba_Kotor]]/Table1[[#This Row],[Total_Pendapatan_Bersih]]</f>
        <v>0.37908496732026142</v>
      </c>
    </row>
    <row r="199" spans="1:18" ht="20.25" thickBot="1" x14ac:dyDescent="0.6">
      <c r="A199" s="3" t="s">
        <v>228</v>
      </c>
      <c r="B199" s="21">
        <v>45855</v>
      </c>
      <c r="C199" s="1" t="s">
        <v>23</v>
      </c>
      <c r="D199" s="1" t="s">
        <v>35</v>
      </c>
      <c r="E199" s="2">
        <v>2</v>
      </c>
      <c r="F199" s="1" t="s">
        <v>25</v>
      </c>
      <c r="G199" s="1" t="str">
        <f>INDEX(Table2[Nama Produk],MATCH(Table1[[#This Row],[SKU]],Table2[SKU],0))</f>
        <v>Meja Adjustable</v>
      </c>
      <c r="H199" s="1" t="str">
        <f>VLOOKUP(Table1[[#This Row],[SKU]],Table2[],3,FALSE)</f>
        <v>Furnitur</v>
      </c>
      <c r="I199" s="37">
        <f>INDEX(Table2[Harga Jual],MATCH(Table1[[#This Row],[SKU]],Table2[SKU],0))</f>
        <v>4200000</v>
      </c>
      <c r="J199" s="37">
        <f>VLOOKUP(Table1[[#This Row],[SKU]],Table2[],4,FALSE)</f>
        <v>2400000</v>
      </c>
      <c r="K199" s="37">
        <f>INDEX(Table3[Biaya Kirim per Unit],MATCH(Table1[[#This Row],[Kota]],Table3[Kota],))</f>
        <v>35000</v>
      </c>
      <c r="L199" s="39">
        <f>VLOOKUP(Table1[[#This Row],[Kode_Promo]],Table4[],2,FALSE)</f>
        <v>0.3</v>
      </c>
      <c r="M199" s="37">
        <f>Table1[[#This Row],[Jumlah_Unit]]*Table1[[#This Row],[Harga_Satuan]]</f>
        <v>8400000</v>
      </c>
      <c r="N199" s="37">
        <f>Table1[[#This Row],[Total_Pendapatan_Kotor]]*Table1[[#This Row],[Persentase_Diskon]]</f>
        <v>2520000</v>
      </c>
      <c r="O199" s="37">
        <f>Table1[[#This Row],[Total_Pendapatan_Kotor]]-Table1[[#This Row],[Potongan_Diskon]]</f>
        <v>5880000</v>
      </c>
      <c r="P199" s="37">
        <f>(Table1[[#This Row],[Jumlah_Unit]]*Table1[[#This Row],[HPP_Satuan]])+(Table1[[#This Row],[Jumlah_Unit]]*Table1[[#This Row],[Biaya_Kirim_Satuan]])</f>
        <v>4870000</v>
      </c>
      <c r="Q199" s="37">
        <f>Table1[[#This Row],[Total_Pendapatan_Bersih]]-Table1[[#This Row],[Total_Biaya]]</f>
        <v>1010000</v>
      </c>
      <c r="R199" s="5">
        <f>Table1[[#This Row],[Laba_Kotor]]/Table1[[#This Row],[Total_Pendapatan_Bersih]]</f>
        <v>0.17176870748299319</v>
      </c>
    </row>
    <row r="200" spans="1:18" ht="20.25" thickBot="1" x14ac:dyDescent="0.6">
      <c r="A200" s="3" t="s">
        <v>229</v>
      </c>
      <c r="B200" s="21">
        <v>45856</v>
      </c>
      <c r="C200" s="1" t="s">
        <v>27</v>
      </c>
      <c r="D200" s="1" t="s">
        <v>32</v>
      </c>
      <c r="E200" s="2">
        <v>4</v>
      </c>
      <c r="F200" s="1" t="s">
        <v>29</v>
      </c>
      <c r="G200" s="1" t="str">
        <f>INDEX(Table2[Nama Produk],MATCH(Table1[[#This Row],[SKU]],Table2[SKU],0))</f>
        <v>Monitor Ergonomis 27</v>
      </c>
      <c r="H200" s="1" t="str">
        <f>VLOOKUP(Table1[[#This Row],[SKU]],Table2[],3,FALSE)</f>
        <v>Elektronik</v>
      </c>
      <c r="I200" s="37">
        <f>INDEX(Table2[Harga Jual],MATCH(Table1[[#This Row],[SKU]],Table2[SKU],0))</f>
        <v>3400000</v>
      </c>
      <c r="J200" s="37">
        <f>VLOOKUP(Table1[[#This Row],[SKU]],Table2[],4,FALSE)</f>
        <v>2100000</v>
      </c>
      <c r="K200" s="37">
        <f>INDEX(Table3[Biaya Kirim per Unit],MATCH(Table1[[#This Row],[Kota]],Table3[Kota],))</f>
        <v>50000</v>
      </c>
      <c r="L200" s="39">
        <f>VLOOKUP(Table1[[#This Row],[Kode_Promo]],Table4[],2,FALSE)</f>
        <v>0</v>
      </c>
      <c r="M200" s="37">
        <f>Table1[[#This Row],[Jumlah_Unit]]*Table1[[#This Row],[Harga_Satuan]]</f>
        <v>13600000</v>
      </c>
      <c r="N200" s="37">
        <f>Table1[[#This Row],[Total_Pendapatan_Kotor]]*Table1[[#This Row],[Persentase_Diskon]]</f>
        <v>0</v>
      </c>
      <c r="O200" s="37">
        <f>Table1[[#This Row],[Total_Pendapatan_Kotor]]-Table1[[#This Row],[Potongan_Diskon]]</f>
        <v>13600000</v>
      </c>
      <c r="P200" s="37">
        <f>(Table1[[#This Row],[Jumlah_Unit]]*Table1[[#This Row],[HPP_Satuan]])+(Table1[[#This Row],[Jumlah_Unit]]*Table1[[#This Row],[Biaya_Kirim_Satuan]])</f>
        <v>8600000</v>
      </c>
      <c r="Q200" s="37">
        <f>Table1[[#This Row],[Total_Pendapatan_Bersih]]-Table1[[#This Row],[Total_Biaya]]</f>
        <v>5000000</v>
      </c>
      <c r="R200" s="5">
        <f>Table1[[#This Row],[Laba_Kotor]]/Table1[[#This Row],[Total_Pendapatan_Bersih]]</f>
        <v>0.36764705882352944</v>
      </c>
    </row>
    <row r="201" spans="1:18" ht="20.25" thickBot="1" x14ac:dyDescent="0.6">
      <c r="A201" s="3" t="s">
        <v>230</v>
      </c>
      <c r="B201" s="21">
        <v>45857</v>
      </c>
      <c r="C201" s="1" t="s">
        <v>31</v>
      </c>
      <c r="D201" s="1" t="s">
        <v>28</v>
      </c>
      <c r="E201" s="2">
        <v>1</v>
      </c>
      <c r="F201" s="1" t="s">
        <v>33</v>
      </c>
      <c r="G201" s="1" t="str">
        <f>INDEX(Table2[Nama Produk],MATCH(Table1[[#This Row],[SKU]],Table2[SKU],0))</f>
        <v>Kursi Kerja Ergonomis</v>
      </c>
      <c r="H201" s="1" t="str">
        <f>VLOOKUP(Table1[[#This Row],[SKU]],Table2[],3,FALSE)</f>
        <v>Furnitur</v>
      </c>
      <c r="I201" s="37">
        <f>INDEX(Table2[Harga Jual],MATCH(Table1[[#This Row],[SKU]],Table2[SKU],0))</f>
        <v>2100000</v>
      </c>
      <c r="J201" s="37">
        <f>VLOOKUP(Table1[[#This Row],[SKU]],Table2[],4,FALSE)</f>
        <v>1200000</v>
      </c>
      <c r="K201" s="37">
        <f>INDEX(Table3[Biaya Kirim per Unit],MATCH(Table1[[#This Row],[Kota]],Table3[Kota],))</f>
        <v>65000</v>
      </c>
      <c r="L201" s="39">
        <f>VLOOKUP(Table1[[#This Row],[Kode_Promo]],Table4[],2,FALSE)</f>
        <v>0.2</v>
      </c>
      <c r="M201" s="37">
        <f>Table1[[#This Row],[Jumlah_Unit]]*Table1[[#This Row],[Harga_Satuan]]</f>
        <v>2100000</v>
      </c>
      <c r="N201" s="37">
        <f>Table1[[#This Row],[Total_Pendapatan_Kotor]]*Table1[[#This Row],[Persentase_Diskon]]</f>
        <v>420000</v>
      </c>
      <c r="O201" s="37">
        <f>Table1[[#This Row],[Total_Pendapatan_Kotor]]-Table1[[#This Row],[Potongan_Diskon]]</f>
        <v>1680000</v>
      </c>
      <c r="P201" s="37">
        <f>(Table1[[#This Row],[Jumlah_Unit]]*Table1[[#This Row],[HPP_Satuan]])+(Table1[[#This Row],[Jumlah_Unit]]*Table1[[#This Row],[Biaya_Kirim_Satuan]])</f>
        <v>1265000</v>
      </c>
      <c r="Q201" s="37">
        <f>Table1[[#This Row],[Total_Pendapatan_Bersih]]-Table1[[#This Row],[Total_Biaya]]</f>
        <v>415000</v>
      </c>
      <c r="R201" s="5">
        <f>Table1[[#This Row],[Laba_Kotor]]/Table1[[#This Row],[Total_Pendapatan_Bersih]]</f>
        <v>0.24702380952380953</v>
      </c>
    </row>
    <row r="202" spans="1:18" ht="20.25" thickBot="1" x14ac:dyDescent="0.6">
      <c r="A202" s="3" t="s">
        <v>231</v>
      </c>
      <c r="B202" s="21">
        <v>45858</v>
      </c>
      <c r="C202" s="1" t="s">
        <v>19</v>
      </c>
      <c r="D202" s="1" t="s">
        <v>20</v>
      </c>
      <c r="E202" s="2">
        <v>2</v>
      </c>
      <c r="F202" s="1" t="s">
        <v>21</v>
      </c>
      <c r="G202" s="1" t="str">
        <f>INDEX(Table2[Nama Produk],MATCH(Table1[[#This Row],[SKU]],Table2[SKU],0))</f>
        <v>Laptop Pro 14</v>
      </c>
      <c r="H202" s="1" t="str">
        <f>VLOOKUP(Table1[[#This Row],[SKU]],Table2[],3,FALSE)</f>
        <v>Elektronik</v>
      </c>
      <c r="I202" s="37">
        <f>INDEX(Table2[Harga Jual],MATCH(Table1[[#This Row],[SKU]],Table2[SKU],0))</f>
        <v>12000000</v>
      </c>
      <c r="J202" s="37">
        <f>VLOOKUP(Table1[[#This Row],[SKU]],Table2[],4,FALSE)</f>
        <v>8500000</v>
      </c>
      <c r="K202" s="37">
        <f>INDEX(Table3[Biaya Kirim per Unit],MATCH(Table1[[#This Row],[Kota]],Table3[Kota],))</f>
        <v>25000</v>
      </c>
      <c r="L202" s="39">
        <f>VLOOKUP(Table1[[#This Row],[Kode_Promo]],Table4[],2,FALSE)</f>
        <v>0.1</v>
      </c>
      <c r="M202" s="37">
        <f>Table1[[#This Row],[Jumlah_Unit]]*Table1[[#This Row],[Harga_Satuan]]</f>
        <v>24000000</v>
      </c>
      <c r="N202" s="37">
        <f>Table1[[#This Row],[Total_Pendapatan_Kotor]]*Table1[[#This Row],[Persentase_Diskon]]</f>
        <v>2400000</v>
      </c>
      <c r="O202" s="37">
        <f>Table1[[#This Row],[Total_Pendapatan_Kotor]]-Table1[[#This Row],[Potongan_Diskon]]</f>
        <v>21600000</v>
      </c>
      <c r="P202" s="37">
        <f>(Table1[[#This Row],[Jumlah_Unit]]*Table1[[#This Row],[HPP_Satuan]])+(Table1[[#This Row],[Jumlah_Unit]]*Table1[[#This Row],[Biaya_Kirim_Satuan]])</f>
        <v>17050000</v>
      </c>
      <c r="Q202" s="37">
        <f>Table1[[#This Row],[Total_Pendapatan_Bersih]]-Table1[[#This Row],[Total_Biaya]]</f>
        <v>4550000</v>
      </c>
      <c r="R202" s="5">
        <f>Table1[[#This Row],[Laba_Kotor]]/Table1[[#This Row],[Total_Pendapatan_Bersih]]</f>
        <v>0.21064814814814814</v>
      </c>
    </row>
    <row r="203" spans="1:18" ht="20.25" thickBot="1" x14ac:dyDescent="0.6">
      <c r="A203" s="3" t="s">
        <v>232</v>
      </c>
      <c r="B203" s="21">
        <v>45859</v>
      </c>
      <c r="C203" s="1" t="s">
        <v>23</v>
      </c>
      <c r="D203" s="1" t="s">
        <v>24</v>
      </c>
      <c r="E203" s="2">
        <v>8</v>
      </c>
      <c r="F203" s="1" t="s">
        <v>25</v>
      </c>
      <c r="G203" s="1" t="str">
        <f>INDEX(Table2[Nama Produk],MATCH(Table1[[#This Row],[SKU]],Table2[SKU],0))</f>
        <v>Mechanical Keyboard</v>
      </c>
      <c r="H203" s="1" t="str">
        <f>VLOOKUP(Table1[[#This Row],[SKU]],Table2[],3,FALSE)</f>
        <v>Aksesori</v>
      </c>
      <c r="I203" s="37">
        <f>INDEX(Table2[Harga Jual],MATCH(Table1[[#This Row],[SKU]],Table2[SKU],0))</f>
        <v>850000</v>
      </c>
      <c r="J203" s="37">
        <f>VLOOKUP(Table1[[#This Row],[SKU]],Table2[],4,FALSE)</f>
        <v>450000</v>
      </c>
      <c r="K203" s="37">
        <f>INDEX(Table3[Biaya Kirim per Unit],MATCH(Table1[[#This Row],[Kota]],Table3[Kota],))</f>
        <v>35000</v>
      </c>
      <c r="L203" s="39">
        <f>VLOOKUP(Table1[[#This Row],[Kode_Promo]],Table4[],2,FALSE)</f>
        <v>0.3</v>
      </c>
      <c r="M203" s="37">
        <f>Table1[[#This Row],[Jumlah_Unit]]*Table1[[#This Row],[Harga_Satuan]]</f>
        <v>6800000</v>
      </c>
      <c r="N203" s="37">
        <f>Table1[[#This Row],[Total_Pendapatan_Kotor]]*Table1[[#This Row],[Persentase_Diskon]]</f>
        <v>2040000</v>
      </c>
      <c r="O203" s="37">
        <f>Table1[[#This Row],[Total_Pendapatan_Kotor]]-Table1[[#This Row],[Potongan_Diskon]]</f>
        <v>4760000</v>
      </c>
      <c r="P203" s="37">
        <f>(Table1[[#This Row],[Jumlah_Unit]]*Table1[[#This Row],[HPP_Satuan]])+(Table1[[#This Row],[Jumlah_Unit]]*Table1[[#This Row],[Biaya_Kirim_Satuan]])</f>
        <v>3880000</v>
      </c>
      <c r="Q203" s="37">
        <f>Table1[[#This Row],[Total_Pendapatan_Bersih]]-Table1[[#This Row],[Total_Biaya]]</f>
        <v>880000</v>
      </c>
      <c r="R203" s="5">
        <f>Table1[[#This Row],[Laba_Kotor]]/Table1[[#This Row],[Total_Pendapatan_Bersih]]</f>
        <v>0.18487394957983194</v>
      </c>
    </row>
    <row r="204" spans="1:18" ht="20.25" thickBot="1" x14ac:dyDescent="0.6">
      <c r="A204" s="3" t="s">
        <v>233</v>
      </c>
      <c r="B204" s="21">
        <v>45860</v>
      </c>
      <c r="C204" s="1" t="s">
        <v>27</v>
      </c>
      <c r="D204" s="1" t="s">
        <v>28</v>
      </c>
      <c r="E204" s="2">
        <v>3</v>
      </c>
      <c r="F204" s="1" t="s">
        <v>29</v>
      </c>
      <c r="G204" s="1" t="str">
        <f>INDEX(Table2[Nama Produk],MATCH(Table1[[#This Row],[SKU]],Table2[SKU],0))</f>
        <v>Kursi Kerja Ergonomis</v>
      </c>
      <c r="H204" s="1" t="str">
        <f>VLOOKUP(Table1[[#This Row],[SKU]],Table2[],3,FALSE)</f>
        <v>Furnitur</v>
      </c>
      <c r="I204" s="37">
        <f>INDEX(Table2[Harga Jual],MATCH(Table1[[#This Row],[SKU]],Table2[SKU],0))</f>
        <v>2100000</v>
      </c>
      <c r="J204" s="37">
        <f>VLOOKUP(Table1[[#This Row],[SKU]],Table2[],4,FALSE)</f>
        <v>1200000</v>
      </c>
      <c r="K204" s="37">
        <f>INDEX(Table3[Biaya Kirim per Unit],MATCH(Table1[[#This Row],[Kota]],Table3[Kota],))</f>
        <v>50000</v>
      </c>
      <c r="L204" s="39">
        <f>VLOOKUP(Table1[[#This Row],[Kode_Promo]],Table4[],2,FALSE)</f>
        <v>0</v>
      </c>
      <c r="M204" s="37">
        <f>Table1[[#This Row],[Jumlah_Unit]]*Table1[[#This Row],[Harga_Satuan]]</f>
        <v>6300000</v>
      </c>
      <c r="N204" s="37">
        <f>Table1[[#This Row],[Total_Pendapatan_Kotor]]*Table1[[#This Row],[Persentase_Diskon]]</f>
        <v>0</v>
      </c>
      <c r="O204" s="37">
        <f>Table1[[#This Row],[Total_Pendapatan_Kotor]]-Table1[[#This Row],[Potongan_Diskon]]</f>
        <v>6300000</v>
      </c>
      <c r="P204" s="37">
        <f>(Table1[[#This Row],[Jumlah_Unit]]*Table1[[#This Row],[HPP_Satuan]])+(Table1[[#This Row],[Jumlah_Unit]]*Table1[[#This Row],[Biaya_Kirim_Satuan]])</f>
        <v>3750000</v>
      </c>
      <c r="Q204" s="37">
        <f>Table1[[#This Row],[Total_Pendapatan_Bersih]]-Table1[[#This Row],[Total_Biaya]]</f>
        <v>2550000</v>
      </c>
      <c r="R204" s="5">
        <f>Table1[[#This Row],[Laba_Kotor]]/Table1[[#This Row],[Total_Pendapatan_Bersih]]</f>
        <v>0.40476190476190477</v>
      </c>
    </row>
    <row r="205" spans="1:18" ht="20.25" thickBot="1" x14ac:dyDescent="0.6">
      <c r="A205" s="3" t="s">
        <v>234</v>
      </c>
      <c r="B205" s="21">
        <v>45861</v>
      </c>
      <c r="C205" s="1" t="s">
        <v>31</v>
      </c>
      <c r="D205" s="1" t="s">
        <v>32</v>
      </c>
      <c r="E205" s="2">
        <v>5</v>
      </c>
      <c r="F205" s="1" t="s">
        <v>33</v>
      </c>
      <c r="G205" s="1" t="str">
        <f>INDEX(Table2[Nama Produk],MATCH(Table1[[#This Row],[SKU]],Table2[SKU],0))</f>
        <v>Monitor Ergonomis 27</v>
      </c>
      <c r="H205" s="1" t="str">
        <f>VLOOKUP(Table1[[#This Row],[SKU]],Table2[],3,FALSE)</f>
        <v>Elektronik</v>
      </c>
      <c r="I205" s="37">
        <f>INDEX(Table2[Harga Jual],MATCH(Table1[[#This Row],[SKU]],Table2[SKU],0))</f>
        <v>3400000</v>
      </c>
      <c r="J205" s="37">
        <f>VLOOKUP(Table1[[#This Row],[SKU]],Table2[],4,FALSE)</f>
        <v>2100000</v>
      </c>
      <c r="K205" s="37">
        <f>INDEX(Table3[Biaya Kirim per Unit],MATCH(Table1[[#This Row],[Kota]],Table3[Kota],))</f>
        <v>65000</v>
      </c>
      <c r="L205" s="39">
        <f>VLOOKUP(Table1[[#This Row],[Kode_Promo]],Table4[],2,FALSE)</f>
        <v>0.2</v>
      </c>
      <c r="M205" s="37">
        <f>Table1[[#This Row],[Jumlah_Unit]]*Table1[[#This Row],[Harga_Satuan]]</f>
        <v>17000000</v>
      </c>
      <c r="N205" s="37">
        <f>Table1[[#This Row],[Total_Pendapatan_Kotor]]*Table1[[#This Row],[Persentase_Diskon]]</f>
        <v>3400000</v>
      </c>
      <c r="O205" s="37">
        <f>Table1[[#This Row],[Total_Pendapatan_Kotor]]-Table1[[#This Row],[Potongan_Diskon]]</f>
        <v>13600000</v>
      </c>
      <c r="P205" s="37">
        <f>(Table1[[#This Row],[Jumlah_Unit]]*Table1[[#This Row],[HPP_Satuan]])+(Table1[[#This Row],[Jumlah_Unit]]*Table1[[#This Row],[Biaya_Kirim_Satuan]])</f>
        <v>10825000</v>
      </c>
      <c r="Q205" s="37">
        <f>Table1[[#This Row],[Total_Pendapatan_Bersih]]-Table1[[#This Row],[Total_Biaya]]</f>
        <v>2775000</v>
      </c>
      <c r="R205" s="5">
        <f>Table1[[#This Row],[Laba_Kotor]]/Table1[[#This Row],[Total_Pendapatan_Bersih]]</f>
        <v>0.20404411764705882</v>
      </c>
    </row>
    <row r="206" spans="1:18" ht="20.25" thickBot="1" x14ac:dyDescent="0.6">
      <c r="A206" s="3" t="s">
        <v>235</v>
      </c>
      <c r="B206" s="21">
        <v>45862</v>
      </c>
      <c r="C206" s="1" t="s">
        <v>19</v>
      </c>
      <c r="D206" s="1" t="s">
        <v>35</v>
      </c>
      <c r="E206" s="2">
        <v>1</v>
      </c>
      <c r="F206" s="1" t="s">
        <v>21</v>
      </c>
      <c r="G206" s="1" t="str">
        <f>INDEX(Table2[Nama Produk],MATCH(Table1[[#This Row],[SKU]],Table2[SKU],0))</f>
        <v>Meja Adjustable</v>
      </c>
      <c r="H206" s="1" t="str">
        <f>VLOOKUP(Table1[[#This Row],[SKU]],Table2[],3,FALSE)</f>
        <v>Furnitur</v>
      </c>
      <c r="I206" s="37">
        <f>INDEX(Table2[Harga Jual],MATCH(Table1[[#This Row],[SKU]],Table2[SKU],0))</f>
        <v>4200000</v>
      </c>
      <c r="J206" s="37">
        <f>VLOOKUP(Table1[[#This Row],[SKU]],Table2[],4,FALSE)</f>
        <v>2400000</v>
      </c>
      <c r="K206" s="37">
        <f>INDEX(Table3[Biaya Kirim per Unit],MATCH(Table1[[#This Row],[Kota]],Table3[Kota],))</f>
        <v>25000</v>
      </c>
      <c r="L206" s="39">
        <f>VLOOKUP(Table1[[#This Row],[Kode_Promo]],Table4[],2,FALSE)</f>
        <v>0.1</v>
      </c>
      <c r="M206" s="37">
        <f>Table1[[#This Row],[Jumlah_Unit]]*Table1[[#This Row],[Harga_Satuan]]</f>
        <v>4200000</v>
      </c>
      <c r="N206" s="37">
        <f>Table1[[#This Row],[Total_Pendapatan_Kotor]]*Table1[[#This Row],[Persentase_Diskon]]</f>
        <v>420000</v>
      </c>
      <c r="O206" s="37">
        <f>Table1[[#This Row],[Total_Pendapatan_Kotor]]-Table1[[#This Row],[Potongan_Diskon]]</f>
        <v>3780000</v>
      </c>
      <c r="P206" s="37">
        <f>(Table1[[#This Row],[Jumlah_Unit]]*Table1[[#This Row],[HPP_Satuan]])+(Table1[[#This Row],[Jumlah_Unit]]*Table1[[#This Row],[Biaya_Kirim_Satuan]])</f>
        <v>2425000</v>
      </c>
      <c r="Q206" s="37">
        <f>Table1[[#This Row],[Total_Pendapatan_Bersih]]-Table1[[#This Row],[Total_Biaya]]</f>
        <v>1355000</v>
      </c>
      <c r="R206" s="5">
        <f>Table1[[#This Row],[Laba_Kotor]]/Table1[[#This Row],[Total_Pendapatan_Bersih]]</f>
        <v>0.35846560846560849</v>
      </c>
    </row>
    <row r="207" spans="1:18" ht="20.25" thickBot="1" x14ac:dyDescent="0.6">
      <c r="A207" s="3" t="s">
        <v>236</v>
      </c>
      <c r="B207" s="21">
        <v>45863</v>
      </c>
      <c r="C207" s="1" t="s">
        <v>23</v>
      </c>
      <c r="D207" s="1" t="s">
        <v>20</v>
      </c>
      <c r="E207" s="2">
        <v>2</v>
      </c>
      <c r="F207" s="1" t="s">
        <v>29</v>
      </c>
      <c r="G207" s="1" t="str">
        <f>INDEX(Table2[Nama Produk],MATCH(Table1[[#This Row],[SKU]],Table2[SKU],0))</f>
        <v>Laptop Pro 14</v>
      </c>
      <c r="H207" s="1" t="str">
        <f>VLOOKUP(Table1[[#This Row],[SKU]],Table2[],3,FALSE)</f>
        <v>Elektronik</v>
      </c>
      <c r="I207" s="37">
        <f>INDEX(Table2[Harga Jual],MATCH(Table1[[#This Row],[SKU]],Table2[SKU],0))</f>
        <v>12000000</v>
      </c>
      <c r="J207" s="37">
        <f>VLOOKUP(Table1[[#This Row],[SKU]],Table2[],4,FALSE)</f>
        <v>8500000</v>
      </c>
      <c r="K207" s="37">
        <f>INDEX(Table3[Biaya Kirim per Unit],MATCH(Table1[[#This Row],[Kota]],Table3[Kota],))</f>
        <v>35000</v>
      </c>
      <c r="L207" s="39">
        <f>VLOOKUP(Table1[[#This Row],[Kode_Promo]],Table4[],2,FALSE)</f>
        <v>0</v>
      </c>
      <c r="M207" s="37">
        <f>Table1[[#This Row],[Jumlah_Unit]]*Table1[[#This Row],[Harga_Satuan]]</f>
        <v>24000000</v>
      </c>
      <c r="N207" s="37">
        <f>Table1[[#This Row],[Total_Pendapatan_Kotor]]*Table1[[#This Row],[Persentase_Diskon]]</f>
        <v>0</v>
      </c>
      <c r="O207" s="37">
        <f>Table1[[#This Row],[Total_Pendapatan_Kotor]]-Table1[[#This Row],[Potongan_Diskon]]</f>
        <v>24000000</v>
      </c>
      <c r="P207" s="37">
        <f>(Table1[[#This Row],[Jumlah_Unit]]*Table1[[#This Row],[HPP_Satuan]])+(Table1[[#This Row],[Jumlah_Unit]]*Table1[[#This Row],[Biaya_Kirim_Satuan]])</f>
        <v>17070000</v>
      </c>
      <c r="Q207" s="37">
        <f>Table1[[#This Row],[Total_Pendapatan_Bersih]]-Table1[[#This Row],[Total_Biaya]]</f>
        <v>6930000</v>
      </c>
      <c r="R207" s="5">
        <f>Table1[[#This Row],[Laba_Kotor]]/Table1[[#This Row],[Total_Pendapatan_Bersih]]</f>
        <v>0.28875000000000001</v>
      </c>
    </row>
    <row r="208" spans="1:18" ht="20.25" thickBot="1" x14ac:dyDescent="0.6">
      <c r="A208" s="3" t="s">
        <v>237</v>
      </c>
      <c r="B208" s="21">
        <v>45864</v>
      </c>
      <c r="C208" s="1" t="s">
        <v>27</v>
      </c>
      <c r="D208" s="1" t="s">
        <v>24</v>
      </c>
      <c r="E208" s="2">
        <v>4</v>
      </c>
      <c r="F208" s="1" t="s">
        <v>25</v>
      </c>
      <c r="G208" s="1" t="str">
        <f>INDEX(Table2[Nama Produk],MATCH(Table1[[#This Row],[SKU]],Table2[SKU],0))</f>
        <v>Mechanical Keyboard</v>
      </c>
      <c r="H208" s="1" t="str">
        <f>VLOOKUP(Table1[[#This Row],[SKU]],Table2[],3,FALSE)</f>
        <v>Aksesori</v>
      </c>
      <c r="I208" s="37">
        <f>INDEX(Table2[Harga Jual],MATCH(Table1[[#This Row],[SKU]],Table2[SKU],0))</f>
        <v>850000</v>
      </c>
      <c r="J208" s="37">
        <f>VLOOKUP(Table1[[#This Row],[SKU]],Table2[],4,FALSE)</f>
        <v>450000</v>
      </c>
      <c r="K208" s="37">
        <f>INDEX(Table3[Biaya Kirim per Unit],MATCH(Table1[[#This Row],[Kota]],Table3[Kota],))</f>
        <v>50000</v>
      </c>
      <c r="L208" s="39">
        <f>VLOOKUP(Table1[[#This Row],[Kode_Promo]],Table4[],2,FALSE)</f>
        <v>0.3</v>
      </c>
      <c r="M208" s="37">
        <f>Table1[[#This Row],[Jumlah_Unit]]*Table1[[#This Row],[Harga_Satuan]]</f>
        <v>3400000</v>
      </c>
      <c r="N208" s="37">
        <f>Table1[[#This Row],[Total_Pendapatan_Kotor]]*Table1[[#This Row],[Persentase_Diskon]]</f>
        <v>1020000</v>
      </c>
      <c r="O208" s="37">
        <f>Table1[[#This Row],[Total_Pendapatan_Kotor]]-Table1[[#This Row],[Potongan_Diskon]]</f>
        <v>2380000</v>
      </c>
      <c r="P208" s="37">
        <f>(Table1[[#This Row],[Jumlah_Unit]]*Table1[[#This Row],[HPP_Satuan]])+(Table1[[#This Row],[Jumlah_Unit]]*Table1[[#This Row],[Biaya_Kirim_Satuan]])</f>
        <v>2000000</v>
      </c>
      <c r="Q208" s="37">
        <f>Table1[[#This Row],[Total_Pendapatan_Bersih]]-Table1[[#This Row],[Total_Biaya]]</f>
        <v>380000</v>
      </c>
      <c r="R208" s="5">
        <f>Table1[[#This Row],[Laba_Kotor]]/Table1[[#This Row],[Total_Pendapatan_Bersih]]</f>
        <v>0.15966386554621848</v>
      </c>
    </row>
    <row r="209" spans="1:18" ht="20.25" thickBot="1" x14ac:dyDescent="0.6">
      <c r="A209" s="3" t="s">
        <v>238</v>
      </c>
      <c r="B209" s="21">
        <v>45865</v>
      </c>
      <c r="C209" s="1" t="s">
        <v>31</v>
      </c>
      <c r="D209" s="1" t="s">
        <v>35</v>
      </c>
      <c r="E209" s="2">
        <v>3</v>
      </c>
      <c r="F209" s="1" t="s">
        <v>33</v>
      </c>
      <c r="G209" s="1" t="str">
        <f>INDEX(Table2[Nama Produk],MATCH(Table1[[#This Row],[SKU]],Table2[SKU],0))</f>
        <v>Meja Adjustable</v>
      </c>
      <c r="H209" s="1" t="str">
        <f>VLOOKUP(Table1[[#This Row],[SKU]],Table2[],3,FALSE)</f>
        <v>Furnitur</v>
      </c>
      <c r="I209" s="37">
        <f>INDEX(Table2[Harga Jual],MATCH(Table1[[#This Row],[SKU]],Table2[SKU],0))</f>
        <v>4200000</v>
      </c>
      <c r="J209" s="37">
        <f>VLOOKUP(Table1[[#This Row],[SKU]],Table2[],4,FALSE)</f>
        <v>2400000</v>
      </c>
      <c r="K209" s="37">
        <f>INDEX(Table3[Biaya Kirim per Unit],MATCH(Table1[[#This Row],[Kota]],Table3[Kota],))</f>
        <v>65000</v>
      </c>
      <c r="L209" s="39">
        <f>VLOOKUP(Table1[[#This Row],[Kode_Promo]],Table4[],2,FALSE)</f>
        <v>0.2</v>
      </c>
      <c r="M209" s="37">
        <f>Table1[[#This Row],[Jumlah_Unit]]*Table1[[#This Row],[Harga_Satuan]]</f>
        <v>12600000</v>
      </c>
      <c r="N209" s="37">
        <f>Table1[[#This Row],[Total_Pendapatan_Kotor]]*Table1[[#This Row],[Persentase_Diskon]]</f>
        <v>2520000</v>
      </c>
      <c r="O209" s="37">
        <f>Table1[[#This Row],[Total_Pendapatan_Kotor]]-Table1[[#This Row],[Potongan_Diskon]]</f>
        <v>10080000</v>
      </c>
      <c r="P209" s="37">
        <f>(Table1[[#This Row],[Jumlah_Unit]]*Table1[[#This Row],[HPP_Satuan]])+(Table1[[#This Row],[Jumlah_Unit]]*Table1[[#This Row],[Biaya_Kirim_Satuan]])</f>
        <v>7395000</v>
      </c>
      <c r="Q209" s="37">
        <f>Table1[[#This Row],[Total_Pendapatan_Bersih]]-Table1[[#This Row],[Total_Biaya]]</f>
        <v>2685000</v>
      </c>
      <c r="R209" s="5">
        <f>Table1[[#This Row],[Laba_Kotor]]/Table1[[#This Row],[Total_Pendapatan_Bersih]]</f>
        <v>0.26636904761904762</v>
      </c>
    </row>
    <row r="210" spans="1:18" ht="20.25" thickBot="1" x14ac:dyDescent="0.6">
      <c r="A210" s="3" t="s">
        <v>239</v>
      </c>
      <c r="B210" s="21">
        <v>45866</v>
      </c>
      <c r="C210" s="1" t="s">
        <v>19</v>
      </c>
      <c r="D210" s="1" t="s">
        <v>32</v>
      </c>
      <c r="E210" s="2">
        <v>3</v>
      </c>
      <c r="F210" s="1" t="s">
        <v>21</v>
      </c>
      <c r="G210" s="1" t="str">
        <f>INDEX(Table2[Nama Produk],MATCH(Table1[[#This Row],[SKU]],Table2[SKU],0))</f>
        <v>Monitor Ergonomis 27</v>
      </c>
      <c r="H210" s="1" t="str">
        <f>VLOOKUP(Table1[[#This Row],[SKU]],Table2[],3,FALSE)</f>
        <v>Elektronik</v>
      </c>
      <c r="I210" s="37">
        <f>INDEX(Table2[Harga Jual],MATCH(Table1[[#This Row],[SKU]],Table2[SKU],0))</f>
        <v>3400000</v>
      </c>
      <c r="J210" s="37">
        <f>VLOOKUP(Table1[[#This Row],[SKU]],Table2[],4,FALSE)</f>
        <v>2100000</v>
      </c>
      <c r="K210" s="37">
        <f>INDEX(Table3[Biaya Kirim per Unit],MATCH(Table1[[#This Row],[Kota]],Table3[Kota],))</f>
        <v>25000</v>
      </c>
      <c r="L210" s="39">
        <f>VLOOKUP(Table1[[#This Row],[Kode_Promo]],Table4[],2,FALSE)</f>
        <v>0.1</v>
      </c>
      <c r="M210" s="37">
        <f>Table1[[#This Row],[Jumlah_Unit]]*Table1[[#This Row],[Harga_Satuan]]</f>
        <v>10200000</v>
      </c>
      <c r="N210" s="37">
        <f>Table1[[#This Row],[Total_Pendapatan_Kotor]]*Table1[[#This Row],[Persentase_Diskon]]</f>
        <v>1020000</v>
      </c>
      <c r="O210" s="37">
        <f>Table1[[#This Row],[Total_Pendapatan_Kotor]]-Table1[[#This Row],[Potongan_Diskon]]</f>
        <v>9180000</v>
      </c>
      <c r="P210" s="37">
        <f>(Table1[[#This Row],[Jumlah_Unit]]*Table1[[#This Row],[HPP_Satuan]])+(Table1[[#This Row],[Jumlah_Unit]]*Table1[[#This Row],[Biaya_Kirim_Satuan]])</f>
        <v>6375000</v>
      </c>
      <c r="Q210" s="37">
        <f>Table1[[#This Row],[Total_Pendapatan_Bersih]]-Table1[[#This Row],[Total_Biaya]]</f>
        <v>2805000</v>
      </c>
      <c r="R210" s="5">
        <f>Table1[[#This Row],[Laba_Kotor]]/Table1[[#This Row],[Total_Pendapatan_Bersih]]</f>
        <v>0.30555555555555558</v>
      </c>
    </row>
    <row r="211" spans="1:18" ht="20.25" thickBot="1" x14ac:dyDescent="0.6">
      <c r="A211" s="3" t="s">
        <v>240</v>
      </c>
      <c r="B211" s="21">
        <v>45867</v>
      </c>
      <c r="C211" s="1" t="s">
        <v>23</v>
      </c>
      <c r="D211" s="1" t="s">
        <v>28</v>
      </c>
      <c r="E211" s="2">
        <v>2</v>
      </c>
      <c r="F211" s="1" t="s">
        <v>25</v>
      </c>
      <c r="G211" s="1" t="str">
        <f>INDEX(Table2[Nama Produk],MATCH(Table1[[#This Row],[SKU]],Table2[SKU],0))</f>
        <v>Kursi Kerja Ergonomis</v>
      </c>
      <c r="H211" s="1" t="str">
        <f>VLOOKUP(Table1[[#This Row],[SKU]],Table2[],3,FALSE)</f>
        <v>Furnitur</v>
      </c>
      <c r="I211" s="37">
        <f>INDEX(Table2[Harga Jual],MATCH(Table1[[#This Row],[SKU]],Table2[SKU],0))</f>
        <v>2100000</v>
      </c>
      <c r="J211" s="37">
        <f>VLOOKUP(Table1[[#This Row],[SKU]],Table2[],4,FALSE)</f>
        <v>1200000</v>
      </c>
      <c r="K211" s="37">
        <f>INDEX(Table3[Biaya Kirim per Unit],MATCH(Table1[[#This Row],[Kota]],Table3[Kota],))</f>
        <v>35000</v>
      </c>
      <c r="L211" s="39">
        <f>VLOOKUP(Table1[[#This Row],[Kode_Promo]],Table4[],2,FALSE)</f>
        <v>0.3</v>
      </c>
      <c r="M211" s="37">
        <f>Table1[[#This Row],[Jumlah_Unit]]*Table1[[#This Row],[Harga_Satuan]]</f>
        <v>4200000</v>
      </c>
      <c r="N211" s="37">
        <f>Table1[[#This Row],[Total_Pendapatan_Kotor]]*Table1[[#This Row],[Persentase_Diskon]]</f>
        <v>1260000</v>
      </c>
      <c r="O211" s="37">
        <f>Table1[[#This Row],[Total_Pendapatan_Kotor]]-Table1[[#This Row],[Potongan_Diskon]]</f>
        <v>2940000</v>
      </c>
      <c r="P211" s="37">
        <f>(Table1[[#This Row],[Jumlah_Unit]]*Table1[[#This Row],[HPP_Satuan]])+(Table1[[#This Row],[Jumlah_Unit]]*Table1[[#This Row],[Biaya_Kirim_Satuan]])</f>
        <v>2470000</v>
      </c>
      <c r="Q211" s="37">
        <f>Table1[[#This Row],[Total_Pendapatan_Bersih]]-Table1[[#This Row],[Total_Biaya]]</f>
        <v>470000</v>
      </c>
      <c r="R211" s="5">
        <f>Table1[[#This Row],[Laba_Kotor]]/Table1[[#This Row],[Total_Pendapatan_Bersih]]</f>
        <v>0.1598639455782313</v>
      </c>
    </row>
    <row r="212" spans="1:18" ht="20.25" thickBot="1" x14ac:dyDescent="0.6">
      <c r="A212" s="3" t="s">
        <v>241</v>
      </c>
      <c r="B212" s="21">
        <v>45868</v>
      </c>
      <c r="C212" s="1" t="s">
        <v>27</v>
      </c>
      <c r="D212" s="1" t="s">
        <v>20</v>
      </c>
      <c r="E212" s="2">
        <v>4</v>
      </c>
      <c r="F212" s="1" t="s">
        <v>29</v>
      </c>
      <c r="G212" s="1" t="str">
        <f>INDEX(Table2[Nama Produk],MATCH(Table1[[#This Row],[SKU]],Table2[SKU],0))</f>
        <v>Laptop Pro 14</v>
      </c>
      <c r="H212" s="1" t="str">
        <f>VLOOKUP(Table1[[#This Row],[SKU]],Table2[],3,FALSE)</f>
        <v>Elektronik</v>
      </c>
      <c r="I212" s="37">
        <f>INDEX(Table2[Harga Jual],MATCH(Table1[[#This Row],[SKU]],Table2[SKU],0))</f>
        <v>12000000</v>
      </c>
      <c r="J212" s="37">
        <f>VLOOKUP(Table1[[#This Row],[SKU]],Table2[],4,FALSE)</f>
        <v>8500000</v>
      </c>
      <c r="K212" s="37">
        <f>INDEX(Table3[Biaya Kirim per Unit],MATCH(Table1[[#This Row],[Kota]],Table3[Kota],))</f>
        <v>50000</v>
      </c>
      <c r="L212" s="39">
        <f>VLOOKUP(Table1[[#This Row],[Kode_Promo]],Table4[],2,FALSE)</f>
        <v>0</v>
      </c>
      <c r="M212" s="37">
        <f>Table1[[#This Row],[Jumlah_Unit]]*Table1[[#This Row],[Harga_Satuan]]</f>
        <v>48000000</v>
      </c>
      <c r="N212" s="37">
        <f>Table1[[#This Row],[Total_Pendapatan_Kotor]]*Table1[[#This Row],[Persentase_Diskon]]</f>
        <v>0</v>
      </c>
      <c r="O212" s="37">
        <f>Table1[[#This Row],[Total_Pendapatan_Kotor]]-Table1[[#This Row],[Potongan_Diskon]]</f>
        <v>48000000</v>
      </c>
      <c r="P212" s="37">
        <f>(Table1[[#This Row],[Jumlah_Unit]]*Table1[[#This Row],[HPP_Satuan]])+(Table1[[#This Row],[Jumlah_Unit]]*Table1[[#This Row],[Biaya_Kirim_Satuan]])</f>
        <v>34200000</v>
      </c>
      <c r="Q212" s="37">
        <f>Table1[[#This Row],[Total_Pendapatan_Bersih]]-Table1[[#This Row],[Total_Biaya]]</f>
        <v>13800000</v>
      </c>
      <c r="R212" s="5">
        <f>Table1[[#This Row],[Laba_Kotor]]/Table1[[#This Row],[Total_Pendapatan_Bersih]]</f>
        <v>0.28749999999999998</v>
      </c>
    </row>
    <row r="213" spans="1:18" ht="20.25" thickBot="1" x14ac:dyDescent="0.6">
      <c r="A213" s="3" t="s">
        <v>242</v>
      </c>
      <c r="B213" s="21">
        <v>45869</v>
      </c>
      <c r="C213" s="1" t="s">
        <v>31</v>
      </c>
      <c r="D213" s="1" t="s">
        <v>24</v>
      </c>
      <c r="E213" s="2">
        <v>6</v>
      </c>
      <c r="F213" s="1" t="s">
        <v>33</v>
      </c>
      <c r="G213" s="1" t="str">
        <f>INDEX(Table2[Nama Produk],MATCH(Table1[[#This Row],[SKU]],Table2[SKU],0))</f>
        <v>Mechanical Keyboard</v>
      </c>
      <c r="H213" s="1" t="str">
        <f>VLOOKUP(Table1[[#This Row],[SKU]],Table2[],3,FALSE)</f>
        <v>Aksesori</v>
      </c>
      <c r="I213" s="37">
        <f>INDEX(Table2[Harga Jual],MATCH(Table1[[#This Row],[SKU]],Table2[SKU],0))</f>
        <v>850000</v>
      </c>
      <c r="J213" s="37">
        <f>VLOOKUP(Table1[[#This Row],[SKU]],Table2[],4,FALSE)</f>
        <v>450000</v>
      </c>
      <c r="K213" s="37">
        <f>INDEX(Table3[Biaya Kirim per Unit],MATCH(Table1[[#This Row],[Kota]],Table3[Kota],))</f>
        <v>65000</v>
      </c>
      <c r="L213" s="39">
        <f>VLOOKUP(Table1[[#This Row],[Kode_Promo]],Table4[],2,FALSE)</f>
        <v>0.2</v>
      </c>
      <c r="M213" s="37">
        <f>Table1[[#This Row],[Jumlah_Unit]]*Table1[[#This Row],[Harga_Satuan]]</f>
        <v>5100000</v>
      </c>
      <c r="N213" s="37">
        <f>Table1[[#This Row],[Total_Pendapatan_Kotor]]*Table1[[#This Row],[Persentase_Diskon]]</f>
        <v>1020000</v>
      </c>
      <c r="O213" s="37">
        <f>Table1[[#This Row],[Total_Pendapatan_Kotor]]-Table1[[#This Row],[Potongan_Diskon]]</f>
        <v>4080000</v>
      </c>
      <c r="P213" s="37">
        <f>(Table1[[#This Row],[Jumlah_Unit]]*Table1[[#This Row],[HPP_Satuan]])+(Table1[[#This Row],[Jumlah_Unit]]*Table1[[#This Row],[Biaya_Kirim_Satuan]])</f>
        <v>3090000</v>
      </c>
      <c r="Q213" s="37">
        <f>Table1[[#This Row],[Total_Pendapatan_Bersih]]-Table1[[#This Row],[Total_Biaya]]</f>
        <v>990000</v>
      </c>
      <c r="R213" s="5">
        <f>Table1[[#This Row],[Laba_Kotor]]/Table1[[#This Row],[Total_Pendapatan_Bersih]]</f>
        <v>0.24264705882352941</v>
      </c>
    </row>
    <row r="214" spans="1:18" ht="20.25" thickBot="1" x14ac:dyDescent="0.6">
      <c r="A214" s="3" t="s">
        <v>243</v>
      </c>
      <c r="B214" s="21">
        <v>45870</v>
      </c>
      <c r="C214" s="1" t="s">
        <v>19</v>
      </c>
      <c r="D214" s="1" t="s">
        <v>28</v>
      </c>
      <c r="E214" s="2">
        <v>1</v>
      </c>
      <c r="F214" s="1" t="s">
        <v>21</v>
      </c>
      <c r="G214" s="1" t="str">
        <f>INDEX(Table2[Nama Produk],MATCH(Table1[[#This Row],[SKU]],Table2[SKU],0))</f>
        <v>Kursi Kerja Ergonomis</v>
      </c>
      <c r="H214" s="1" t="str">
        <f>VLOOKUP(Table1[[#This Row],[SKU]],Table2[],3,FALSE)</f>
        <v>Furnitur</v>
      </c>
      <c r="I214" s="37">
        <f>INDEX(Table2[Harga Jual],MATCH(Table1[[#This Row],[SKU]],Table2[SKU],0))</f>
        <v>2100000</v>
      </c>
      <c r="J214" s="37">
        <f>VLOOKUP(Table1[[#This Row],[SKU]],Table2[],4,FALSE)</f>
        <v>1200000</v>
      </c>
      <c r="K214" s="37">
        <f>INDEX(Table3[Biaya Kirim per Unit],MATCH(Table1[[#This Row],[Kota]],Table3[Kota],))</f>
        <v>25000</v>
      </c>
      <c r="L214" s="39">
        <f>VLOOKUP(Table1[[#This Row],[Kode_Promo]],Table4[],2,FALSE)</f>
        <v>0.1</v>
      </c>
      <c r="M214" s="37">
        <f>Table1[[#This Row],[Jumlah_Unit]]*Table1[[#This Row],[Harga_Satuan]]</f>
        <v>2100000</v>
      </c>
      <c r="N214" s="37">
        <f>Table1[[#This Row],[Total_Pendapatan_Kotor]]*Table1[[#This Row],[Persentase_Diskon]]</f>
        <v>210000</v>
      </c>
      <c r="O214" s="37">
        <f>Table1[[#This Row],[Total_Pendapatan_Kotor]]-Table1[[#This Row],[Potongan_Diskon]]</f>
        <v>1890000</v>
      </c>
      <c r="P214" s="37">
        <f>(Table1[[#This Row],[Jumlah_Unit]]*Table1[[#This Row],[HPP_Satuan]])+(Table1[[#This Row],[Jumlah_Unit]]*Table1[[#This Row],[Biaya_Kirim_Satuan]])</f>
        <v>1225000</v>
      </c>
      <c r="Q214" s="37">
        <f>Table1[[#This Row],[Total_Pendapatan_Bersih]]-Table1[[#This Row],[Total_Biaya]]</f>
        <v>665000</v>
      </c>
      <c r="R214" s="5">
        <f>Table1[[#This Row],[Laba_Kotor]]/Table1[[#This Row],[Total_Pendapatan_Bersih]]</f>
        <v>0.35185185185185186</v>
      </c>
    </row>
    <row r="215" spans="1:18" ht="20.25" thickBot="1" x14ac:dyDescent="0.6">
      <c r="A215" s="3" t="s">
        <v>244</v>
      </c>
      <c r="B215" s="21">
        <v>45871</v>
      </c>
      <c r="C215" s="1" t="s">
        <v>23</v>
      </c>
      <c r="D215" s="1" t="s">
        <v>32</v>
      </c>
      <c r="E215" s="2">
        <v>4</v>
      </c>
      <c r="F215" s="1" t="s">
        <v>25</v>
      </c>
      <c r="G215" s="1" t="str">
        <f>INDEX(Table2[Nama Produk],MATCH(Table1[[#This Row],[SKU]],Table2[SKU],0))</f>
        <v>Monitor Ergonomis 27</v>
      </c>
      <c r="H215" s="1" t="str">
        <f>VLOOKUP(Table1[[#This Row],[SKU]],Table2[],3,FALSE)</f>
        <v>Elektronik</v>
      </c>
      <c r="I215" s="37">
        <f>INDEX(Table2[Harga Jual],MATCH(Table1[[#This Row],[SKU]],Table2[SKU],0))</f>
        <v>3400000</v>
      </c>
      <c r="J215" s="37">
        <f>VLOOKUP(Table1[[#This Row],[SKU]],Table2[],4,FALSE)</f>
        <v>2100000</v>
      </c>
      <c r="K215" s="37">
        <f>INDEX(Table3[Biaya Kirim per Unit],MATCH(Table1[[#This Row],[Kota]],Table3[Kota],))</f>
        <v>35000</v>
      </c>
      <c r="L215" s="39">
        <f>VLOOKUP(Table1[[#This Row],[Kode_Promo]],Table4[],2,FALSE)</f>
        <v>0.3</v>
      </c>
      <c r="M215" s="37">
        <f>Table1[[#This Row],[Jumlah_Unit]]*Table1[[#This Row],[Harga_Satuan]]</f>
        <v>13600000</v>
      </c>
      <c r="N215" s="37">
        <f>Table1[[#This Row],[Total_Pendapatan_Kotor]]*Table1[[#This Row],[Persentase_Diskon]]</f>
        <v>4080000</v>
      </c>
      <c r="O215" s="37">
        <f>Table1[[#This Row],[Total_Pendapatan_Kotor]]-Table1[[#This Row],[Potongan_Diskon]]</f>
        <v>9520000</v>
      </c>
      <c r="P215" s="37">
        <f>(Table1[[#This Row],[Jumlah_Unit]]*Table1[[#This Row],[HPP_Satuan]])+(Table1[[#This Row],[Jumlah_Unit]]*Table1[[#This Row],[Biaya_Kirim_Satuan]])</f>
        <v>8540000</v>
      </c>
      <c r="Q215" s="37">
        <f>Table1[[#This Row],[Total_Pendapatan_Bersih]]-Table1[[#This Row],[Total_Biaya]]</f>
        <v>980000</v>
      </c>
      <c r="R215" s="5">
        <f>Table1[[#This Row],[Laba_Kotor]]/Table1[[#This Row],[Total_Pendapatan_Bersih]]</f>
        <v>0.10294117647058823</v>
      </c>
    </row>
    <row r="216" spans="1:18" ht="20.25" thickBot="1" x14ac:dyDescent="0.6">
      <c r="A216" s="3" t="s">
        <v>245</v>
      </c>
      <c r="B216" s="21">
        <v>45872</v>
      </c>
      <c r="C216" s="1" t="s">
        <v>27</v>
      </c>
      <c r="D216" s="1" t="s">
        <v>35</v>
      </c>
      <c r="E216" s="2">
        <v>2</v>
      </c>
      <c r="F216" s="1" t="s">
        <v>29</v>
      </c>
      <c r="G216" s="1" t="str">
        <f>INDEX(Table2[Nama Produk],MATCH(Table1[[#This Row],[SKU]],Table2[SKU],0))</f>
        <v>Meja Adjustable</v>
      </c>
      <c r="H216" s="1" t="str">
        <f>VLOOKUP(Table1[[#This Row],[SKU]],Table2[],3,FALSE)</f>
        <v>Furnitur</v>
      </c>
      <c r="I216" s="37">
        <f>INDEX(Table2[Harga Jual],MATCH(Table1[[#This Row],[SKU]],Table2[SKU],0))</f>
        <v>4200000</v>
      </c>
      <c r="J216" s="37">
        <f>VLOOKUP(Table1[[#This Row],[SKU]],Table2[],4,FALSE)</f>
        <v>2400000</v>
      </c>
      <c r="K216" s="37">
        <f>INDEX(Table3[Biaya Kirim per Unit],MATCH(Table1[[#This Row],[Kota]],Table3[Kota],))</f>
        <v>50000</v>
      </c>
      <c r="L216" s="39">
        <f>VLOOKUP(Table1[[#This Row],[Kode_Promo]],Table4[],2,FALSE)</f>
        <v>0</v>
      </c>
      <c r="M216" s="37">
        <f>Table1[[#This Row],[Jumlah_Unit]]*Table1[[#This Row],[Harga_Satuan]]</f>
        <v>8400000</v>
      </c>
      <c r="N216" s="37">
        <f>Table1[[#This Row],[Total_Pendapatan_Kotor]]*Table1[[#This Row],[Persentase_Diskon]]</f>
        <v>0</v>
      </c>
      <c r="O216" s="37">
        <f>Table1[[#This Row],[Total_Pendapatan_Kotor]]-Table1[[#This Row],[Potongan_Diskon]]</f>
        <v>8400000</v>
      </c>
      <c r="P216" s="37">
        <f>(Table1[[#This Row],[Jumlah_Unit]]*Table1[[#This Row],[HPP_Satuan]])+(Table1[[#This Row],[Jumlah_Unit]]*Table1[[#This Row],[Biaya_Kirim_Satuan]])</f>
        <v>4900000</v>
      </c>
      <c r="Q216" s="37">
        <f>Table1[[#This Row],[Total_Pendapatan_Bersih]]-Table1[[#This Row],[Total_Biaya]]</f>
        <v>3500000</v>
      </c>
      <c r="R216" s="5">
        <f>Table1[[#This Row],[Laba_Kotor]]/Table1[[#This Row],[Total_Pendapatan_Bersih]]</f>
        <v>0.41666666666666669</v>
      </c>
    </row>
    <row r="217" spans="1:18" ht="20.25" thickBot="1" x14ac:dyDescent="0.6">
      <c r="A217" s="3" t="s">
        <v>246</v>
      </c>
      <c r="B217" s="21">
        <v>45873</v>
      </c>
      <c r="C217" s="1" t="s">
        <v>31</v>
      </c>
      <c r="D217" s="1" t="s">
        <v>20</v>
      </c>
      <c r="E217" s="2">
        <v>1</v>
      </c>
      <c r="F217" s="1" t="s">
        <v>33</v>
      </c>
      <c r="G217" s="1" t="str">
        <f>INDEX(Table2[Nama Produk],MATCH(Table1[[#This Row],[SKU]],Table2[SKU],0))</f>
        <v>Laptop Pro 14</v>
      </c>
      <c r="H217" s="1" t="str">
        <f>VLOOKUP(Table1[[#This Row],[SKU]],Table2[],3,FALSE)</f>
        <v>Elektronik</v>
      </c>
      <c r="I217" s="37">
        <f>INDEX(Table2[Harga Jual],MATCH(Table1[[#This Row],[SKU]],Table2[SKU],0))</f>
        <v>12000000</v>
      </c>
      <c r="J217" s="37">
        <f>VLOOKUP(Table1[[#This Row],[SKU]],Table2[],4,FALSE)</f>
        <v>8500000</v>
      </c>
      <c r="K217" s="37">
        <f>INDEX(Table3[Biaya Kirim per Unit],MATCH(Table1[[#This Row],[Kota]],Table3[Kota],))</f>
        <v>65000</v>
      </c>
      <c r="L217" s="39">
        <f>VLOOKUP(Table1[[#This Row],[Kode_Promo]],Table4[],2,FALSE)</f>
        <v>0.2</v>
      </c>
      <c r="M217" s="37">
        <f>Table1[[#This Row],[Jumlah_Unit]]*Table1[[#This Row],[Harga_Satuan]]</f>
        <v>12000000</v>
      </c>
      <c r="N217" s="37">
        <f>Table1[[#This Row],[Total_Pendapatan_Kotor]]*Table1[[#This Row],[Persentase_Diskon]]</f>
        <v>2400000</v>
      </c>
      <c r="O217" s="37">
        <f>Table1[[#This Row],[Total_Pendapatan_Kotor]]-Table1[[#This Row],[Potongan_Diskon]]</f>
        <v>9600000</v>
      </c>
      <c r="P217" s="37">
        <f>(Table1[[#This Row],[Jumlah_Unit]]*Table1[[#This Row],[HPP_Satuan]])+(Table1[[#This Row],[Jumlah_Unit]]*Table1[[#This Row],[Biaya_Kirim_Satuan]])</f>
        <v>8565000</v>
      </c>
      <c r="Q217" s="37">
        <f>Table1[[#This Row],[Total_Pendapatan_Bersih]]-Table1[[#This Row],[Total_Biaya]]</f>
        <v>1035000</v>
      </c>
      <c r="R217" s="5">
        <f>Table1[[#This Row],[Laba_Kotor]]/Table1[[#This Row],[Total_Pendapatan_Bersih]]</f>
        <v>0.10781250000000001</v>
      </c>
    </row>
    <row r="218" spans="1:18" ht="20.25" thickBot="1" x14ac:dyDescent="0.6">
      <c r="A218" s="3" t="s">
        <v>247</v>
      </c>
      <c r="B218" s="21">
        <v>45874</v>
      </c>
      <c r="C218" s="1" t="s">
        <v>19</v>
      </c>
      <c r="D218" s="1" t="s">
        <v>24</v>
      </c>
      <c r="E218" s="2">
        <v>5</v>
      </c>
      <c r="F218" s="1" t="s">
        <v>21</v>
      </c>
      <c r="G218" s="1" t="str">
        <f>INDEX(Table2[Nama Produk],MATCH(Table1[[#This Row],[SKU]],Table2[SKU],0))</f>
        <v>Mechanical Keyboard</v>
      </c>
      <c r="H218" s="1" t="str">
        <f>VLOOKUP(Table1[[#This Row],[SKU]],Table2[],3,FALSE)</f>
        <v>Aksesori</v>
      </c>
      <c r="I218" s="37">
        <f>INDEX(Table2[Harga Jual],MATCH(Table1[[#This Row],[SKU]],Table2[SKU],0))</f>
        <v>850000</v>
      </c>
      <c r="J218" s="37">
        <f>VLOOKUP(Table1[[#This Row],[SKU]],Table2[],4,FALSE)</f>
        <v>450000</v>
      </c>
      <c r="K218" s="37">
        <f>INDEX(Table3[Biaya Kirim per Unit],MATCH(Table1[[#This Row],[Kota]],Table3[Kota],))</f>
        <v>25000</v>
      </c>
      <c r="L218" s="39">
        <f>VLOOKUP(Table1[[#This Row],[Kode_Promo]],Table4[],2,FALSE)</f>
        <v>0.1</v>
      </c>
      <c r="M218" s="37">
        <f>Table1[[#This Row],[Jumlah_Unit]]*Table1[[#This Row],[Harga_Satuan]]</f>
        <v>4250000</v>
      </c>
      <c r="N218" s="37">
        <f>Table1[[#This Row],[Total_Pendapatan_Kotor]]*Table1[[#This Row],[Persentase_Diskon]]</f>
        <v>425000</v>
      </c>
      <c r="O218" s="37">
        <f>Table1[[#This Row],[Total_Pendapatan_Kotor]]-Table1[[#This Row],[Potongan_Diskon]]</f>
        <v>3825000</v>
      </c>
      <c r="P218" s="37">
        <f>(Table1[[#This Row],[Jumlah_Unit]]*Table1[[#This Row],[HPP_Satuan]])+(Table1[[#This Row],[Jumlah_Unit]]*Table1[[#This Row],[Biaya_Kirim_Satuan]])</f>
        <v>2375000</v>
      </c>
      <c r="Q218" s="37">
        <f>Table1[[#This Row],[Total_Pendapatan_Bersih]]-Table1[[#This Row],[Total_Biaya]]</f>
        <v>1450000</v>
      </c>
      <c r="R218" s="5">
        <f>Table1[[#This Row],[Laba_Kotor]]/Table1[[#This Row],[Total_Pendapatan_Bersih]]</f>
        <v>0.37908496732026142</v>
      </c>
    </row>
    <row r="219" spans="1:18" ht="20.25" thickBot="1" x14ac:dyDescent="0.6">
      <c r="A219" s="3" t="s">
        <v>248</v>
      </c>
      <c r="B219" s="21">
        <v>45875</v>
      </c>
      <c r="C219" s="1" t="s">
        <v>23</v>
      </c>
      <c r="D219" s="1" t="s">
        <v>35</v>
      </c>
      <c r="E219" s="2">
        <v>3</v>
      </c>
      <c r="F219" s="1" t="s">
        <v>25</v>
      </c>
      <c r="G219" s="1" t="str">
        <f>INDEX(Table2[Nama Produk],MATCH(Table1[[#This Row],[SKU]],Table2[SKU],0))</f>
        <v>Meja Adjustable</v>
      </c>
      <c r="H219" s="1" t="str">
        <f>VLOOKUP(Table1[[#This Row],[SKU]],Table2[],3,FALSE)</f>
        <v>Furnitur</v>
      </c>
      <c r="I219" s="37">
        <f>INDEX(Table2[Harga Jual],MATCH(Table1[[#This Row],[SKU]],Table2[SKU],0))</f>
        <v>4200000</v>
      </c>
      <c r="J219" s="37">
        <f>VLOOKUP(Table1[[#This Row],[SKU]],Table2[],4,FALSE)</f>
        <v>2400000</v>
      </c>
      <c r="K219" s="37">
        <f>INDEX(Table3[Biaya Kirim per Unit],MATCH(Table1[[#This Row],[Kota]],Table3[Kota],))</f>
        <v>35000</v>
      </c>
      <c r="L219" s="39">
        <f>VLOOKUP(Table1[[#This Row],[Kode_Promo]],Table4[],2,FALSE)</f>
        <v>0.3</v>
      </c>
      <c r="M219" s="37">
        <f>Table1[[#This Row],[Jumlah_Unit]]*Table1[[#This Row],[Harga_Satuan]]</f>
        <v>12600000</v>
      </c>
      <c r="N219" s="37">
        <f>Table1[[#This Row],[Total_Pendapatan_Kotor]]*Table1[[#This Row],[Persentase_Diskon]]</f>
        <v>3780000</v>
      </c>
      <c r="O219" s="37">
        <f>Table1[[#This Row],[Total_Pendapatan_Kotor]]-Table1[[#This Row],[Potongan_Diskon]]</f>
        <v>8820000</v>
      </c>
      <c r="P219" s="37">
        <f>(Table1[[#This Row],[Jumlah_Unit]]*Table1[[#This Row],[HPP_Satuan]])+(Table1[[#This Row],[Jumlah_Unit]]*Table1[[#This Row],[Biaya_Kirim_Satuan]])</f>
        <v>7305000</v>
      </c>
      <c r="Q219" s="37">
        <f>Table1[[#This Row],[Total_Pendapatan_Bersih]]-Table1[[#This Row],[Total_Biaya]]</f>
        <v>1515000</v>
      </c>
      <c r="R219" s="5">
        <f>Table1[[#This Row],[Laba_Kotor]]/Table1[[#This Row],[Total_Pendapatan_Bersih]]</f>
        <v>0.17176870748299319</v>
      </c>
    </row>
    <row r="220" spans="1:18" ht="20.25" thickBot="1" x14ac:dyDescent="0.6">
      <c r="A220" s="3" t="s">
        <v>249</v>
      </c>
      <c r="B220" s="21">
        <v>45876</v>
      </c>
      <c r="C220" s="1" t="s">
        <v>27</v>
      </c>
      <c r="D220" s="1" t="s">
        <v>32</v>
      </c>
      <c r="E220" s="2">
        <v>2</v>
      </c>
      <c r="F220" s="1" t="s">
        <v>29</v>
      </c>
      <c r="G220" s="1" t="str">
        <f>INDEX(Table2[Nama Produk],MATCH(Table1[[#This Row],[SKU]],Table2[SKU],0))</f>
        <v>Monitor Ergonomis 27</v>
      </c>
      <c r="H220" s="1" t="str">
        <f>VLOOKUP(Table1[[#This Row],[SKU]],Table2[],3,FALSE)</f>
        <v>Elektronik</v>
      </c>
      <c r="I220" s="37">
        <f>INDEX(Table2[Harga Jual],MATCH(Table1[[#This Row],[SKU]],Table2[SKU],0))</f>
        <v>3400000</v>
      </c>
      <c r="J220" s="37">
        <f>VLOOKUP(Table1[[#This Row],[SKU]],Table2[],4,FALSE)</f>
        <v>2100000</v>
      </c>
      <c r="K220" s="37">
        <f>INDEX(Table3[Biaya Kirim per Unit],MATCH(Table1[[#This Row],[Kota]],Table3[Kota],))</f>
        <v>50000</v>
      </c>
      <c r="L220" s="39">
        <f>VLOOKUP(Table1[[#This Row],[Kode_Promo]],Table4[],2,FALSE)</f>
        <v>0</v>
      </c>
      <c r="M220" s="37">
        <f>Table1[[#This Row],[Jumlah_Unit]]*Table1[[#This Row],[Harga_Satuan]]</f>
        <v>6800000</v>
      </c>
      <c r="N220" s="37">
        <f>Table1[[#This Row],[Total_Pendapatan_Kotor]]*Table1[[#This Row],[Persentase_Diskon]]</f>
        <v>0</v>
      </c>
      <c r="O220" s="37">
        <f>Table1[[#This Row],[Total_Pendapatan_Kotor]]-Table1[[#This Row],[Potongan_Diskon]]</f>
        <v>6800000</v>
      </c>
      <c r="P220" s="37">
        <f>(Table1[[#This Row],[Jumlah_Unit]]*Table1[[#This Row],[HPP_Satuan]])+(Table1[[#This Row],[Jumlah_Unit]]*Table1[[#This Row],[Biaya_Kirim_Satuan]])</f>
        <v>4300000</v>
      </c>
      <c r="Q220" s="37">
        <f>Table1[[#This Row],[Total_Pendapatan_Bersih]]-Table1[[#This Row],[Total_Biaya]]</f>
        <v>2500000</v>
      </c>
      <c r="R220" s="5">
        <f>Table1[[#This Row],[Laba_Kotor]]/Table1[[#This Row],[Total_Pendapatan_Bersih]]</f>
        <v>0.36764705882352944</v>
      </c>
    </row>
    <row r="221" spans="1:18" ht="20.25" thickBot="1" x14ac:dyDescent="0.6">
      <c r="A221" s="3" t="s">
        <v>250</v>
      </c>
      <c r="B221" s="21">
        <v>45877</v>
      </c>
      <c r="C221" s="1" t="s">
        <v>31</v>
      </c>
      <c r="D221" s="1" t="s">
        <v>28</v>
      </c>
      <c r="E221" s="2">
        <v>4</v>
      </c>
      <c r="F221" s="1" t="s">
        <v>33</v>
      </c>
      <c r="G221" s="1" t="str">
        <f>INDEX(Table2[Nama Produk],MATCH(Table1[[#This Row],[SKU]],Table2[SKU],0))</f>
        <v>Kursi Kerja Ergonomis</v>
      </c>
      <c r="H221" s="1" t="str">
        <f>VLOOKUP(Table1[[#This Row],[SKU]],Table2[],3,FALSE)</f>
        <v>Furnitur</v>
      </c>
      <c r="I221" s="37">
        <f>INDEX(Table2[Harga Jual],MATCH(Table1[[#This Row],[SKU]],Table2[SKU],0))</f>
        <v>2100000</v>
      </c>
      <c r="J221" s="37">
        <f>VLOOKUP(Table1[[#This Row],[SKU]],Table2[],4,FALSE)</f>
        <v>1200000</v>
      </c>
      <c r="K221" s="37">
        <f>INDEX(Table3[Biaya Kirim per Unit],MATCH(Table1[[#This Row],[Kota]],Table3[Kota],))</f>
        <v>65000</v>
      </c>
      <c r="L221" s="39">
        <f>VLOOKUP(Table1[[#This Row],[Kode_Promo]],Table4[],2,FALSE)</f>
        <v>0.2</v>
      </c>
      <c r="M221" s="37">
        <f>Table1[[#This Row],[Jumlah_Unit]]*Table1[[#This Row],[Harga_Satuan]]</f>
        <v>8400000</v>
      </c>
      <c r="N221" s="37">
        <f>Table1[[#This Row],[Total_Pendapatan_Kotor]]*Table1[[#This Row],[Persentase_Diskon]]</f>
        <v>1680000</v>
      </c>
      <c r="O221" s="37">
        <f>Table1[[#This Row],[Total_Pendapatan_Kotor]]-Table1[[#This Row],[Potongan_Diskon]]</f>
        <v>6720000</v>
      </c>
      <c r="P221" s="37">
        <f>(Table1[[#This Row],[Jumlah_Unit]]*Table1[[#This Row],[HPP_Satuan]])+(Table1[[#This Row],[Jumlah_Unit]]*Table1[[#This Row],[Biaya_Kirim_Satuan]])</f>
        <v>5060000</v>
      </c>
      <c r="Q221" s="37">
        <f>Table1[[#This Row],[Total_Pendapatan_Bersih]]-Table1[[#This Row],[Total_Biaya]]</f>
        <v>1660000</v>
      </c>
      <c r="R221" s="5">
        <f>Table1[[#This Row],[Laba_Kotor]]/Table1[[#This Row],[Total_Pendapatan_Bersih]]</f>
        <v>0.24702380952380953</v>
      </c>
    </row>
    <row r="222" spans="1:18" ht="20.25" thickBot="1" x14ac:dyDescent="0.6">
      <c r="A222" s="3" t="s">
        <v>251</v>
      </c>
      <c r="B222" s="21">
        <v>45878</v>
      </c>
      <c r="C222" s="1" t="s">
        <v>19</v>
      </c>
      <c r="D222" s="1" t="s">
        <v>20</v>
      </c>
      <c r="E222" s="2">
        <v>3</v>
      </c>
      <c r="F222" s="1" t="s">
        <v>21</v>
      </c>
      <c r="G222" s="1" t="str">
        <f>INDEX(Table2[Nama Produk],MATCH(Table1[[#This Row],[SKU]],Table2[SKU],0))</f>
        <v>Laptop Pro 14</v>
      </c>
      <c r="H222" s="1" t="str">
        <f>VLOOKUP(Table1[[#This Row],[SKU]],Table2[],3,FALSE)</f>
        <v>Elektronik</v>
      </c>
      <c r="I222" s="37">
        <f>INDEX(Table2[Harga Jual],MATCH(Table1[[#This Row],[SKU]],Table2[SKU],0))</f>
        <v>12000000</v>
      </c>
      <c r="J222" s="37">
        <f>VLOOKUP(Table1[[#This Row],[SKU]],Table2[],4,FALSE)</f>
        <v>8500000</v>
      </c>
      <c r="K222" s="37">
        <f>INDEX(Table3[Biaya Kirim per Unit],MATCH(Table1[[#This Row],[Kota]],Table3[Kota],))</f>
        <v>25000</v>
      </c>
      <c r="L222" s="39">
        <f>VLOOKUP(Table1[[#This Row],[Kode_Promo]],Table4[],2,FALSE)</f>
        <v>0.1</v>
      </c>
      <c r="M222" s="37">
        <f>Table1[[#This Row],[Jumlah_Unit]]*Table1[[#This Row],[Harga_Satuan]]</f>
        <v>36000000</v>
      </c>
      <c r="N222" s="37">
        <f>Table1[[#This Row],[Total_Pendapatan_Kotor]]*Table1[[#This Row],[Persentase_Diskon]]</f>
        <v>3600000</v>
      </c>
      <c r="O222" s="37">
        <f>Table1[[#This Row],[Total_Pendapatan_Kotor]]-Table1[[#This Row],[Potongan_Diskon]]</f>
        <v>32400000</v>
      </c>
      <c r="P222" s="37">
        <f>(Table1[[#This Row],[Jumlah_Unit]]*Table1[[#This Row],[HPP_Satuan]])+(Table1[[#This Row],[Jumlah_Unit]]*Table1[[#This Row],[Biaya_Kirim_Satuan]])</f>
        <v>25575000</v>
      </c>
      <c r="Q222" s="37">
        <f>Table1[[#This Row],[Total_Pendapatan_Bersih]]-Table1[[#This Row],[Total_Biaya]]</f>
        <v>6825000</v>
      </c>
      <c r="R222" s="5">
        <f>Table1[[#This Row],[Laba_Kotor]]/Table1[[#This Row],[Total_Pendapatan_Bersih]]</f>
        <v>0.21064814814814814</v>
      </c>
    </row>
    <row r="223" spans="1:18" ht="20.25" thickBot="1" x14ac:dyDescent="0.6">
      <c r="A223" s="3" t="s">
        <v>252</v>
      </c>
      <c r="B223" s="21">
        <v>45879</v>
      </c>
      <c r="C223" s="1" t="s">
        <v>23</v>
      </c>
      <c r="D223" s="1" t="s">
        <v>24</v>
      </c>
      <c r="E223" s="2">
        <v>7</v>
      </c>
      <c r="F223" s="1" t="s">
        <v>25</v>
      </c>
      <c r="G223" s="1" t="str">
        <f>INDEX(Table2[Nama Produk],MATCH(Table1[[#This Row],[SKU]],Table2[SKU],0))</f>
        <v>Mechanical Keyboard</v>
      </c>
      <c r="H223" s="1" t="str">
        <f>VLOOKUP(Table1[[#This Row],[SKU]],Table2[],3,FALSE)</f>
        <v>Aksesori</v>
      </c>
      <c r="I223" s="37">
        <f>INDEX(Table2[Harga Jual],MATCH(Table1[[#This Row],[SKU]],Table2[SKU],0))</f>
        <v>850000</v>
      </c>
      <c r="J223" s="37">
        <f>VLOOKUP(Table1[[#This Row],[SKU]],Table2[],4,FALSE)</f>
        <v>450000</v>
      </c>
      <c r="K223" s="37">
        <f>INDEX(Table3[Biaya Kirim per Unit],MATCH(Table1[[#This Row],[Kota]],Table3[Kota],))</f>
        <v>35000</v>
      </c>
      <c r="L223" s="39">
        <f>VLOOKUP(Table1[[#This Row],[Kode_Promo]],Table4[],2,FALSE)</f>
        <v>0.3</v>
      </c>
      <c r="M223" s="37">
        <f>Table1[[#This Row],[Jumlah_Unit]]*Table1[[#This Row],[Harga_Satuan]]</f>
        <v>5950000</v>
      </c>
      <c r="N223" s="37">
        <f>Table1[[#This Row],[Total_Pendapatan_Kotor]]*Table1[[#This Row],[Persentase_Diskon]]</f>
        <v>1785000</v>
      </c>
      <c r="O223" s="37">
        <f>Table1[[#This Row],[Total_Pendapatan_Kotor]]-Table1[[#This Row],[Potongan_Diskon]]</f>
        <v>4165000</v>
      </c>
      <c r="P223" s="37">
        <f>(Table1[[#This Row],[Jumlah_Unit]]*Table1[[#This Row],[HPP_Satuan]])+(Table1[[#This Row],[Jumlah_Unit]]*Table1[[#This Row],[Biaya_Kirim_Satuan]])</f>
        <v>3395000</v>
      </c>
      <c r="Q223" s="37">
        <f>Table1[[#This Row],[Total_Pendapatan_Bersih]]-Table1[[#This Row],[Total_Biaya]]</f>
        <v>770000</v>
      </c>
      <c r="R223" s="5">
        <f>Table1[[#This Row],[Laba_Kotor]]/Table1[[#This Row],[Total_Pendapatan_Bersih]]</f>
        <v>0.18487394957983194</v>
      </c>
    </row>
    <row r="224" spans="1:18" ht="20.25" thickBot="1" x14ac:dyDescent="0.6">
      <c r="A224" s="3" t="s">
        <v>253</v>
      </c>
      <c r="B224" s="21">
        <v>45880</v>
      </c>
      <c r="C224" s="1" t="s">
        <v>27</v>
      </c>
      <c r="D224" s="1" t="s">
        <v>28</v>
      </c>
      <c r="E224" s="2">
        <v>2</v>
      </c>
      <c r="F224" s="1" t="s">
        <v>29</v>
      </c>
      <c r="G224" s="1" t="str">
        <f>INDEX(Table2[Nama Produk],MATCH(Table1[[#This Row],[SKU]],Table2[SKU],0))</f>
        <v>Kursi Kerja Ergonomis</v>
      </c>
      <c r="H224" s="1" t="str">
        <f>VLOOKUP(Table1[[#This Row],[SKU]],Table2[],3,FALSE)</f>
        <v>Furnitur</v>
      </c>
      <c r="I224" s="37">
        <f>INDEX(Table2[Harga Jual],MATCH(Table1[[#This Row],[SKU]],Table2[SKU],0))</f>
        <v>2100000</v>
      </c>
      <c r="J224" s="37">
        <f>VLOOKUP(Table1[[#This Row],[SKU]],Table2[],4,FALSE)</f>
        <v>1200000</v>
      </c>
      <c r="K224" s="37">
        <f>INDEX(Table3[Biaya Kirim per Unit],MATCH(Table1[[#This Row],[Kota]],Table3[Kota],))</f>
        <v>50000</v>
      </c>
      <c r="L224" s="39">
        <f>VLOOKUP(Table1[[#This Row],[Kode_Promo]],Table4[],2,FALSE)</f>
        <v>0</v>
      </c>
      <c r="M224" s="37">
        <f>Table1[[#This Row],[Jumlah_Unit]]*Table1[[#This Row],[Harga_Satuan]]</f>
        <v>4200000</v>
      </c>
      <c r="N224" s="37">
        <f>Table1[[#This Row],[Total_Pendapatan_Kotor]]*Table1[[#This Row],[Persentase_Diskon]]</f>
        <v>0</v>
      </c>
      <c r="O224" s="37">
        <f>Table1[[#This Row],[Total_Pendapatan_Kotor]]-Table1[[#This Row],[Potongan_Diskon]]</f>
        <v>4200000</v>
      </c>
      <c r="P224" s="37">
        <f>(Table1[[#This Row],[Jumlah_Unit]]*Table1[[#This Row],[HPP_Satuan]])+(Table1[[#This Row],[Jumlah_Unit]]*Table1[[#This Row],[Biaya_Kirim_Satuan]])</f>
        <v>2500000</v>
      </c>
      <c r="Q224" s="37">
        <f>Table1[[#This Row],[Total_Pendapatan_Bersih]]-Table1[[#This Row],[Total_Biaya]]</f>
        <v>1700000</v>
      </c>
      <c r="R224" s="5">
        <f>Table1[[#This Row],[Laba_Kotor]]/Table1[[#This Row],[Total_Pendapatan_Bersih]]</f>
        <v>0.40476190476190477</v>
      </c>
    </row>
    <row r="225" spans="1:18" ht="20.25" thickBot="1" x14ac:dyDescent="0.6">
      <c r="A225" s="3" t="s">
        <v>254</v>
      </c>
      <c r="B225" s="21">
        <v>45881</v>
      </c>
      <c r="C225" s="1" t="s">
        <v>31</v>
      </c>
      <c r="D225" s="1" t="s">
        <v>32</v>
      </c>
      <c r="E225" s="2">
        <v>1</v>
      </c>
      <c r="F225" s="1" t="s">
        <v>33</v>
      </c>
      <c r="G225" s="1" t="str">
        <f>INDEX(Table2[Nama Produk],MATCH(Table1[[#This Row],[SKU]],Table2[SKU],0))</f>
        <v>Monitor Ergonomis 27</v>
      </c>
      <c r="H225" s="1" t="str">
        <f>VLOOKUP(Table1[[#This Row],[SKU]],Table2[],3,FALSE)</f>
        <v>Elektronik</v>
      </c>
      <c r="I225" s="37">
        <f>INDEX(Table2[Harga Jual],MATCH(Table1[[#This Row],[SKU]],Table2[SKU],0))</f>
        <v>3400000</v>
      </c>
      <c r="J225" s="37">
        <f>VLOOKUP(Table1[[#This Row],[SKU]],Table2[],4,FALSE)</f>
        <v>2100000</v>
      </c>
      <c r="K225" s="37">
        <f>INDEX(Table3[Biaya Kirim per Unit],MATCH(Table1[[#This Row],[Kota]],Table3[Kota],))</f>
        <v>65000</v>
      </c>
      <c r="L225" s="39">
        <f>VLOOKUP(Table1[[#This Row],[Kode_Promo]],Table4[],2,FALSE)</f>
        <v>0.2</v>
      </c>
      <c r="M225" s="37">
        <f>Table1[[#This Row],[Jumlah_Unit]]*Table1[[#This Row],[Harga_Satuan]]</f>
        <v>3400000</v>
      </c>
      <c r="N225" s="37">
        <f>Table1[[#This Row],[Total_Pendapatan_Kotor]]*Table1[[#This Row],[Persentase_Diskon]]</f>
        <v>680000</v>
      </c>
      <c r="O225" s="37">
        <f>Table1[[#This Row],[Total_Pendapatan_Kotor]]-Table1[[#This Row],[Potongan_Diskon]]</f>
        <v>2720000</v>
      </c>
      <c r="P225" s="37">
        <f>(Table1[[#This Row],[Jumlah_Unit]]*Table1[[#This Row],[HPP_Satuan]])+(Table1[[#This Row],[Jumlah_Unit]]*Table1[[#This Row],[Biaya_Kirim_Satuan]])</f>
        <v>2165000</v>
      </c>
      <c r="Q225" s="37">
        <f>Table1[[#This Row],[Total_Pendapatan_Bersih]]-Table1[[#This Row],[Total_Biaya]]</f>
        <v>555000</v>
      </c>
      <c r="R225" s="5">
        <f>Table1[[#This Row],[Laba_Kotor]]/Table1[[#This Row],[Total_Pendapatan_Bersih]]</f>
        <v>0.20404411764705882</v>
      </c>
    </row>
    <row r="226" spans="1:18" ht="20.25" thickBot="1" x14ac:dyDescent="0.6">
      <c r="A226" s="3" t="s">
        <v>255</v>
      </c>
      <c r="B226" s="21">
        <v>45882</v>
      </c>
      <c r="C226" s="1" t="s">
        <v>19</v>
      </c>
      <c r="D226" s="1" t="s">
        <v>35</v>
      </c>
      <c r="E226" s="2">
        <v>4</v>
      </c>
      <c r="F226" s="1" t="s">
        <v>21</v>
      </c>
      <c r="G226" s="1" t="str">
        <f>INDEX(Table2[Nama Produk],MATCH(Table1[[#This Row],[SKU]],Table2[SKU],0))</f>
        <v>Meja Adjustable</v>
      </c>
      <c r="H226" s="1" t="str">
        <f>VLOOKUP(Table1[[#This Row],[SKU]],Table2[],3,FALSE)</f>
        <v>Furnitur</v>
      </c>
      <c r="I226" s="37">
        <f>INDEX(Table2[Harga Jual],MATCH(Table1[[#This Row],[SKU]],Table2[SKU],0))</f>
        <v>4200000</v>
      </c>
      <c r="J226" s="37">
        <f>VLOOKUP(Table1[[#This Row],[SKU]],Table2[],4,FALSE)</f>
        <v>2400000</v>
      </c>
      <c r="K226" s="37">
        <f>INDEX(Table3[Biaya Kirim per Unit],MATCH(Table1[[#This Row],[Kota]],Table3[Kota],))</f>
        <v>25000</v>
      </c>
      <c r="L226" s="39">
        <f>VLOOKUP(Table1[[#This Row],[Kode_Promo]],Table4[],2,FALSE)</f>
        <v>0.1</v>
      </c>
      <c r="M226" s="37">
        <f>Table1[[#This Row],[Jumlah_Unit]]*Table1[[#This Row],[Harga_Satuan]]</f>
        <v>16800000</v>
      </c>
      <c r="N226" s="37">
        <f>Table1[[#This Row],[Total_Pendapatan_Kotor]]*Table1[[#This Row],[Persentase_Diskon]]</f>
        <v>1680000</v>
      </c>
      <c r="O226" s="37">
        <f>Table1[[#This Row],[Total_Pendapatan_Kotor]]-Table1[[#This Row],[Potongan_Diskon]]</f>
        <v>15120000</v>
      </c>
      <c r="P226" s="37">
        <f>(Table1[[#This Row],[Jumlah_Unit]]*Table1[[#This Row],[HPP_Satuan]])+(Table1[[#This Row],[Jumlah_Unit]]*Table1[[#This Row],[Biaya_Kirim_Satuan]])</f>
        <v>9700000</v>
      </c>
      <c r="Q226" s="37">
        <f>Table1[[#This Row],[Total_Pendapatan_Bersih]]-Table1[[#This Row],[Total_Biaya]]</f>
        <v>5420000</v>
      </c>
      <c r="R226" s="5">
        <f>Table1[[#This Row],[Laba_Kotor]]/Table1[[#This Row],[Total_Pendapatan_Bersih]]</f>
        <v>0.35846560846560849</v>
      </c>
    </row>
    <row r="227" spans="1:18" ht="20.25" thickBot="1" x14ac:dyDescent="0.6">
      <c r="A227" s="3" t="s">
        <v>256</v>
      </c>
      <c r="B227" s="21">
        <v>45883</v>
      </c>
      <c r="C227" s="1" t="s">
        <v>23</v>
      </c>
      <c r="D227" s="1" t="s">
        <v>20</v>
      </c>
      <c r="E227" s="2">
        <v>2</v>
      </c>
      <c r="F227" s="1" t="s">
        <v>29</v>
      </c>
      <c r="G227" s="1" t="str">
        <f>INDEX(Table2[Nama Produk],MATCH(Table1[[#This Row],[SKU]],Table2[SKU],0))</f>
        <v>Laptop Pro 14</v>
      </c>
      <c r="H227" s="1" t="str">
        <f>VLOOKUP(Table1[[#This Row],[SKU]],Table2[],3,FALSE)</f>
        <v>Elektronik</v>
      </c>
      <c r="I227" s="37">
        <f>INDEX(Table2[Harga Jual],MATCH(Table1[[#This Row],[SKU]],Table2[SKU],0))</f>
        <v>12000000</v>
      </c>
      <c r="J227" s="37">
        <f>VLOOKUP(Table1[[#This Row],[SKU]],Table2[],4,FALSE)</f>
        <v>8500000</v>
      </c>
      <c r="K227" s="37">
        <f>INDEX(Table3[Biaya Kirim per Unit],MATCH(Table1[[#This Row],[Kota]],Table3[Kota],))</f>
        <v>35000</v>
      </c>
      <c r="L227" s="39">
        <f>VLOOKUP(Table1[[#This Row],[Kode_Promo]],Table4[],2,FALSE)</f>
        <v>0</v>
      </c>
      <c r="M227" s="37">
        <f>Table1[[#This Row],[Jumlah_Unit]]*Table1[[#This Row],[Harga_Satuan]]</f>
        <v>24000000</v>
      </c>
      <c r="N227" s="37">
        <f>Table1[[#This Row],[Total_Pendapatan_Kotor]]*Table1[[#This Row],[Persentase_Diskon]]</f>
        <v>0</v>
      </c>
      <c r="O227" s="37">
        <f>Table1[[#This Row],[Total_Pendapatan_Kotor]]-Table1[[#This Row],[Potongan_Diskon]]</f>
        <v>24000000</v>
      </c>
      <c r="P227" s="37">
        <f>(Table1[[#This Row],[Jumlah_Unit]]*Table1[[#This Row],[HPP_Satuan]])+(Table1[[#This Row],[Jumlah_Unit]]*Table1[[#This Row],[Biaya_Kirim_Satuan]])</f>
        <v>17070000</v>
      </c>
      <c r="Q227" s="37">
        <f>Table1[[#This Row],[Total_Pendapatan_Bersih]]-Table1[[#This Row],[Total_Biaya]]</f>
        <v>6930000</v>
      </c>
      <c r="R227" s="5">
        <f>Table1[[#This Row],[Laba_Kotor]]/Table1[[#This Row],[Total_Pendapatan_Bersih]]</f>
        <v>0.28875000000000001</v>
      </c>
    </row>
    <row r="228" spans="1:18" ht="20.25" thickBot="1" x14ac:dyDescent="0.6">
      <c r="A228" s="3" t="s">
        <v>257</v>
      </c>
      <c r="B228" s="21">
        <v>45884</v>
      </c>
      <c r="C228" s="1" t="s">
        <v>27</v>
      </c>
      <c r="D228" s="1" t="s">
        <v>24</v>
      </c>
      <c r="E228" s="2">
        <v>6</v>
      </c>
      <c r="F228" s="1" t="s">
        <v>25</v>
      </c>
      <c r="G228" s="1" t="str">
        <f>INDEX(Table2[Nama Produk],MATCH(Table1[[#This Row],[SKU]],Table2[SKU],0))</f>
        <v>Mechanical Keyboard</v>
      </c>
      <c r="H228" s="1" t="str">
        <f>VLOOKUP(Table1[[#This Row],[SKU]],Table2[],3,FALSE)</f>
        <v>Aksesori</v>
      </c>
      <c r="I228" s="37">
        <f>INDEX(Table2[Harga Jual],MATCH(Table1[[#This Row],[SKU]],Table2[SKU],0))</f>
        <v>850000</v>
      </c>
      <c r="J228" s="37">
        <f>VLOOKUP(Table1[[#This Row],[SKU]],Table2[],4,FALSE)</f>
        <v>450000</v>
      </c>
      <c r="K228" s="37">
        <f>INDEX(Table3[Biaya Kirim per Unit],MATCH(Table1[[#This Row],[Kota]],Table3[Kota],))</f>
        <v>50000</v>
      </c>
      <c r="L228" s="39">
        <f>VLOOKUP(Table1[[#This Row],[Kode_Promo]],Table4[],2,FALSE)</f>
        <v>0.3</v>
      </c>
      <c r="M228" s="37">
        <f>Table1[[#This Row],[Jumlah_Unit]]*Table1[[#This Row],[Harga_Satuan]]</f>
        <v>5100000</v>
      </c>
      <c r="N228" s="37">
        <f>Table1[[#This Row],[Total_Pendapatan_Kotor]]*Table1[[#This Row],[Persentase_Diskon]]</f>
        <v>1530000</v>
      </c>
      <c r="O228" s="37">
        <f>Table1[[#This Row],[Total_Pendapatan_Kotor]]-Table1[[#This Row],[Potongan_Diskon]]</f>
        <v>3570000</v>
      </c>
      <c r="P228" s="37">
        <f>(Table1[[#This Row],[Jumlah_Unit]]*Table1[[#This Row],[HPP_Satuan]])+(Table1[[#This Row],[Jumlah_Unit]]*Table1[[#This Row],[Biaya_Kirim_Satuan]])</f>
        <v>3000000</v>
      </c>
      <c r="Q228" s="37">
        <f>Table1[[#This Row],[Total_Pendapatan_Bersih]]-Table1[[#This Row],[Total_Biaya]]</f>
        <v>570000</v>
      </c>
      <c r="R228" s="5">
        <f>Table1[[#This Row],[Laba_Kotor]]/Table1[[#This Row],[Total_Pendapatan_Bersih]]</f>
        <v>0.15966386554621848</v>
      </c>
    </row>
    <row r="229" spans="1:18" ht="20.25" thickBot="1" x14ac:dyDescent="0.6">
      <c r="A229" s="3" t="s">
        <v>258</v>
      </c>
      <c r="B229" s="21">
        <v>45885</v>
      </c>
      <c r="C229" s="1" t="s">
        <v>31</v>
      </c>
      <c r="D229" s="1" t="s">
        <v>35</v>
      </c>
      <c r="E229" s="2">
        <v>1</v>
      </c>
      <c r="F229" s="1" t="s">
        <v>33</v>
      </c>
      <c r="G229" s="1" t="str">
        <f>INDEX(Table2[Nama Produk],MATCH(Table1[[#This Row],[SKU]],Table2[SKU],0))</f>
        <v>Meja Adjustable</v>
      </c>
      <c r="H229" s="1" t="str">
        <f>VLOOKUP(Table1[[#This Row],[SKU]],Table2[],3,FALSE)</f>
        <v>Furnitur</v>
      </c>
      <c r="I229" s="37">
        <f>INDEX(Table2[Harga Jual],MATCH(Table1[[#This Row],[SKU]],Table2[SKU],0))</f>
        <v>4200000</v>
      </c>
      <c r="J229" s="37">
        <f>VLOOKUP(Table1[[#This Row],[SKU]],Table2[],4,FALSE)</f>
        <v>2400000</v>
      </c>
      <c r="K229" s="37">
        <f>INDEX(Table3[Biaya Kirim per Unit],MATCH(Table1[[#This Row],[Kota]],Table3[Kota],))</f>
        <v>65000</v>
      </c>
      <c r="L229" s="39">
        <f>VLOOKUP(Table1[[#This Row],[Kode_Promo]],Table4[],2,FALSE)</f>
        <v>0.2</v>
      </c>
      <c r="M229" s="37">
        <f>Table1[[#This Row],[Jumlah_Unit]]*Table1[[#This Row],[Harga_Satuan]]</f>
        <v>4200000</v>
      </c>
      <c r="N229" s="37">
        <f>Table1[[#This Row],[Total_Pendapatan_Kotor]]*Table1[[#This Row],[Persentase_Diskon]]</f>
        <v>840000</v>
      </c>
      <c r="O229" s="37">
        <f>Table1[[#This Row],[Total_Pendapatan_Kotor]]-Table1[[#This Row],[Potongan_Diskon]]</f>
        <v>3360000</v>
      </c>
      <c r="P229" s="37">
        <f>(Table1[[#This Row],[Jumlah_Unit]]*Table1[[#This Row],[HPP_Satuan]])+(Table1[[#This Row],[Jumlah_Unit]]*Table1[[#This Row],[Biaya_Kirim_Satuan]])</f>
        <v>2465000</v>
      </c>
      <c r="Q229" s="37">
        <f>Table1[[#This Row],[Total_Pendapatan_Bersih]]-Table1[[#This Row],[Total_Biaya]]</f>
        <v>895000</v>
      </c>
      <c r="R229" s="5">
        <f>Table1[[#This Row],[Laba_Kotor]]/Table1[[#This Row],[Total_Pendapatan_Bersih]]</f>
        <v>0.26636904761904762</v>
      </c>
    </row>
    <row r="230" spans="1:18" ht="20.25" thickBot="1" x14ac:dyDescent="0.6">
      <c r="A230" s="3" t="s">
        <v>259</v>
      </c>
      <c r="B230" s="21">
        <v>45886</v>
      </c>
      <c r="C230" s="1" t="s">
        <v>19</v>
      </c>
      <c r="D230" s="1" t="s">
        <v>32</v>
      </c>
      <c r="E230" s="2">
        <v>5</v>
      </c>
      <c r="F230" s="1" t="s">
        <v>21</v>
      </c>
      <c r="G230" s="1" t="str">
        <f>INDEX(Table2[Nama Produk],MATCH(Table1[[#This Row],[SKU]],Table2[SKU],0))</f>
        <v>Monitor Ergonomis 27</v>
      </c>
      <c r="H230" s="1" t="str">
        <f>VLOOKUP(Table1[[#This Row],[SKU]],Table2[],3,FALSE)</f>
        <v>Elektronik</v>
      </c>
      <c r="I230" s="37">
        <f>INDEX(Table2[Harga Jual],MATCH(Table1[[#This Row],[SKU]],Table2[SKU],0))</f>
        <v>3400000</v>
      </c>
      <c r="J230" s="37">
        <f>VLOOKUP(Table1[[#This Row],[SKU]],Table2[],4,FALSE)</f>
        <v>2100000</v>
      </c>
      <c r="K230" s="37">
        <f>INDEX(Table3[Biaya Kirim per Unit],MATCH(Table1[[#This Row],[Kota]],Table3[Kota],))</f>
        <v>25000</v>
      </c>
      <c r="L230" s="39">
        <f>VLOOKUP(Table1[[#This Row],[Kode_Promo]],Table4[],2,FALSE)</f>
        <v>0.1</v>
      </c>
      <c r="M230" s="37">
        <f>Table1[[#This Row],[Jumlah_Unit]]*Table1[[#This Row],[Harga_Satuan]]</f>
        <v>17000000</v>
      </c>
      <c r="N230" s="37">
        <f>Table1[[#This Row],[Total_Pendapatan_Kotor]]*Table1[[#This Row],[Persentase_Diskon]]</f>
        <v>1700000</v>
      </c>
      <c r="O230" s="37">
        <f>Table1[[#This Row],[Total_Pendapatan_Kotor]]-Table1[[#This Row],[Potongan_Diskon]]</f>
        <v>15300000</v>
      </c>
      <c r="P230" s="37">
        <f>(Table1[[#This Row],[Jumlah_Unit]]*Table1[[#This Row],[HPP_Satuan]])+(Table1[[#This Row],[Jumlah_Unit]]*Table1[[#This Row],[Biaya_Kirim_Satuan]])</f>
        <v>10625000</v>
      </c>
      <c r="Q230" s="37">
        <f>Table1[[#This Row],[Total_Pendapatan_Bersih]]-Table1[[#This Row],[Total_Biaya]]</f>
        <v>4675000</v>
      </c>
      <c r="R230" s="5">
        <f>Table1[[#This Row],[Laba_Kotor]]/Table1[[#This Row],[Total_Pendapatan_Bersih]]</f>
        <v>0.30555555555555558</v>
      </c>
    </row>
    <row r="231" spans="1:18" ht="20.25" thickBot="1" x14ac:dyDescent="0.6">
      <c r="A231" s="3" t="s">
        <v>260</v>
      </c>
      <c r="B231" s="21">
        <v>45887</v>
      </c>
      <c r="C231" s="1" t="s">
        <v>23</v>
      </c>
      <c r="D231" s="1" t="s">
        <v>28</v>
      </c>
      <c r="E231" s="2">
        <v>3</v>
      </c>
      <c r="F231" s="1" t="s">
        <v>25</v>
      </c>
      <c r="G231" s="1" t="str">
        <f>INDEX(Table2[Nama Produk],MATCH(Table1[[#This Row],[SKU]],Table2[SKU],0))</f>
        <v>Kursi Kerja Ergonomis</v>
      </c>
      <c r="H231" s="1" t="str">
        <f>VLOOKUP(Table1[[#This Row],[SKU]],Table2[],3,FALSE)</f>
        <v>Furnitur</v>
      </c>
      <c r="I231" s="37">
        <f>INDEX(Table2[Harga Jual],MATCH(Table1[[#This Row],[SKU]],Table2[SKU],0))</f>
        <v>2100000</v>
      </c>
      <c r="J231" s="37">
        <f>VLOOKUP(Table1[[#This Row],[SKU]],Table2[],4,FALSE)</f>
        <v>1200000</v>
      </c>
      <c r="K231" s="37">
        <f>INDEX(Table3[Biaya Kirim per Unit],MATCH(Table1[[#This Row],[Kota]],Table3[Kota],))</f>
        <v>35000</v>
      </c>
      <c r="L231" s="39">
        <f>VLOOKUP(Table1[[#This Row],[Kode_Promo]],Table4[],2,FALSE)</f>
        <v>0.3</v>
      </c>
      <c r="M231" s="37">
        <f>Table1[[#This Row],[Jumlah_Unit]]*Table1[[#This Row],[Harga_Satuan]]</f>
        <v>6300000</v>
      </c>
      <c r="N231" s="37">
        <f>Table1[[#This Row],[Total_Pendapatan_Kotor]]*Table1[[#This Row],[Persentase_Diskon]]</f>
        <v>1890000</v>
      </c>
      <c r="O231" s="37">
        <f>Table1[[#This Row],[Total_Pendapatan_Kotor]]-Table1[[#This Row],[Potongan_Diskon]]</f>
        <v>4410000</v>
      </c>
      <c r="P231" s="37">
        <f>(Table1[[#This Row],[Jumlah_Unit]]*Table1[[#This Row],[HPP_Satuan]])+(Table1[[#This Row],[Jumlah_Unit]]*Table1[[#This Row],[Biaya_Kirim_Satuan]])</f>
        <v>3705000</v>
      </c>
      <c r="Q231" s="37">
        <f>Table1[[#This Row],[Total_Pendapatan_Bersih]]-Table1[[#This Row],[Total_Biaya]]</f>
        <v>705000</v>
      </c>
      <c r="R231" s="5">
        <f>Table1[[#This Row],[Laba_Kotor]]/Table1[[#This Row],[Total_Pendapatan_Bersih]]</f>
        <v>0.1598639455782313</v>
      </c>
    </row>
    <row r="232" spans="1:18" ht="20.25" thickBot="1" x14ac:dyDescent="0.6">
      <c r="A232" s="3" t="s">
        <v>261</v>
      </c>
      <c r="B232" s="21">
        <v>45888</v>
      </c>
      <c r="C232" s="1" t="s">
        <v>27</v>
      </c>
      <c r="D232" s="1" t="s">
        <v>20</v>
      </c>
      <c r="E232" s="2">
        <v>1</v>
      </c>
      <c r="F232" s="1" t="s">
        <v>29</v>
      </c>
      <c r="G232" s="1" t="str">
        <f>INDEX(Table2[Nama Produk],MATCH(Table1[[#This Row],[SKU]],Table2[SKU],0))</f>
        <v>Laptop Pro 14</v>
      </c>
      <c r="H232" s="1" t="str">
        <f>VLOOKUP(Table1[[#This Row],[SKU]],Table2[],3,FALSE)</f>
        <v>Elektronik</v>
      </c>
      <c r="I232" s="37">
        <f>INDEX(Table2[Harga Jual],MATCH(Table1[[#This Row],[SKU]],Table2[SKU],0))</f>
        <v>12000000</v>
      </c>
      <c r="J232" s="37">
        <f>VLOOKUP(Table1[[#This Row],[SKU]],Table2[],4,FALSE)</f>
        <v>8500000</v>
      </c>
      <c r="K232" s="37">
        <f>INDEX(Table3[Biaya Kirim per Unit],MATCH(Table1[[#This Row],[Kota]],Table3[Kota],))</f>
        <v>50000</v>
      </c>
      <c r="L232" s="39">
        <f>VLOOKUP(Table1[[#This Row],[Kode_Promo]],Table4[],2,FALSE)</f>
        <v>0</v>
      </c>
      <c r="M232" s="37">
        <f>Table1[[#This Row],[Jumlah_Unit]]*Table1[[#This Row],[Harga_Satuan]]</f>
        <v>12000000</v>
      </c>
      <c r="N232" s="37">
        <f>Table1[[#This Row],[Total_Pendapatan_Kotor]]*Table1[[#This Row],[Persentase_Diskon]]</f>
        <v>0</v>
      </c>
      <c r="O232" s="37">
        <f>Table1[[#This Row],[Total_Pendapatan_Kotor]]-Table1[[#This Row],[Potongan_Diskon]]</f>
        <v>12000000</v>
      </c>
      <c r="P232" s="37">
        <f>(Table1[[#This Row],[Jumlah_Unit]]*Table1[[#This Row],[HPP_Satuan]])+(Table1[[#This Row],[Jumlah_Unit]]*Table1[[#This Row],[Biaya_Kirim_Satuan]])</f>
        <v>8550000</v>
      </c>
      <c r="Q232" s="37">
        <f>Table1[[#This Row],[Total_Pendapatan_Bersih]]-Table1[[#This Row],[Total_Biaya]]</f>
        <v>3450000</v>
      </c>
      <c r="R232" s="5">
        <f>Table1[[#This Row],[Laba_Kotor]]/Table1[[#This Row],[Total_Pendapatan_Bersih]]</f>
        <v>0.28749999999999998</v>
      </c>
    </row>
    <row r="233" spans="1:18" ht="20.25" thickBot="1" x14ac:dyDescent="0.6">
      <c r="A233" s="3" t="s">
        <v>262</v>
      </c>
      <c r="B233" s="21">
        <v>45889</v>
      </c>
      <c r="C233" s="1" t="s">
        <v>31</v>
      </c>
      <c r="D233" s="1" t="s">
        <v>24</v>
      </c>
      <c r="E233" s="2">
        <v>8</v>
      </c>
      <c r="F233" s="1" t="s">
        <v>33</v>
      </c>
      <c r="G233" s="1" t="str">
        <f>INDEX(Table2[Nama Produk],MATCH(Table1[[#This Row],[SKU]],Table2[SKU],0))</f>
        <v>Mechanical Keyboard</v>
      </c>
      <c r="H233" s="1" t="str">
        <f>VLOOKUP(Table1[[#This Row],[SKU]],Table2[],3,FALSE)</f>
        <v>Aksesori</v>
      </c>
      <c r="I233" s="37">
        <f>INDEX(Table2[Harga Jual],MATCH(Table1[[#This Row],[SKU]],Table2[SKU],0))</f>
        <v>850000</v>
      </c>
      <c r="J233" s="37">
        <f>VLOOKUP(Table1[[#This Row],[SKU]],Table2[],4,FALSE)</f>
        <v>450000</v>
      </c>
      <c r="K233" s="37">
        <f>INDEX(Table3[Biaya Kirim per Unit],MATCH(Table1[[#This Row],[Kota]],Table3[Kota],))</f>
        <v>65000</v>
      </c>
      <c r="L233" s="39">
        <f>VLOOKUP(Table1[[#This Row],[Kode_Promo]],Table4[],2,FALSE)</f>
        <v>0.2</v>
      </c>
      <c r="M233" s="37">
        <f>Table1[[#This Row],[Jumlah_Unit]]*Table1[[#This Row],[Harga_Satuan]]</f>
        <v>6800000</v>
      </c>
      <c r="N233" s="37">
        <f>Table1[[#This Row],[Total_Pendapatan_Kotor]]*Table1[[#This Row],[Persentase_Diskon]]</f>
        <v>1360000</v>
      </c>
      <c r="O233" s="37">
        <f>Table1[[#This Row],[Total_Pendapatan_Kotor]]-Table1[[#This Row],[Potongan_Diskon]]</f>
        <v>5440000</v>
      </c>
      <c r="P233" s="37">
        <f>(Table1[[#This Row],[Jumlah_Unit]]*Table1[[#This Row],[HPP_Satuan]])+(Table1[[#This Row],[Jumlah_Unit]]*Table1[[#This Row],[Biaya_Kirim_Satuan]])</f>
        <v>4120000</v>
      </c>
      <c r="Q233" s="37">
        <f>Table1[[#This Row],[Total_Pendapatan_Bersih]]-Table1[[#This Row],[Total_Biaya]]</f>
        <v>1320000</v>
      </c>
      <c r="R233" s="5">
        <f>Table1[[#This Row],[Laba_Kotor]]/Table1[[#This Row],[Total_Pendapatan_Bersih]]</f>
        <v>0.24264705882352941</v>
      </c>
    </row>
    <row r="234" spans="1:18" ht="20.25" thickBot="1" x14ac:dyDescent="0.6">
      <c r="A234" s="3" t="s">
        <v>263</v>
      </c>
      <c r="B234" s="21">
        <v>45890</v>
      </c>
      <c r="C234" s="1" t="s">
        <v>19</v>
      </c>
      <c r="D234" s="1" t="s">
        <v>28</v>
      </c>
      <c r="E234" s="2">
        <v>2</v>
      </c>
      <c r="F234" s="1" t="s">
        <v>21</v>
      </c>
      <c r="G234" s="1" t="str">
        <f>INDEX(Table2[Nama Produk],MATCH(Table1[[#This Row],[SKU]],Table2[SKU],0))</f>
        <v>Kursi Kerja Ergonomis</v>
      </c>
      <c r="H234" s="1" t="str">
        <f>VLOOKUP(Table1[[#This Row],[SKU]],Table2[],3,FALSE)</f>
        <v>Furnitur</v>
      </c>
      <c r="I234" s="37">
        <f>INDEX(Table2[Harga Jual],MATCH(Table1[[#This Row],[SKU]],Table2[SKU],0))</f>
        <v>2100000</v>
      </c>
      <c r="J234" s="37">
        <f>VLOOKUP(Table1[[#This Row],[SKU]],Table2[],4,FALSE)</f>
        <v>1200000</v>
      </c>
      <c r="K234" s="37">
        <f>INDEX(Table3[Biaya Kirim per Unit],MATCH(Table1[[#This Row],[Kota]],Table3[Kota],))</f>
        <v>25000</v>
      </c>
      <c r="L234" s="39">
        <f>VLOOKUP(Table1[[#This Row],[Kode_Promo]],Table4[],2,FALSE)</f>
        <v>0.1</v>
      </c>
      <c r="M234" s="37">
        <f>Table1[[#This Row],[Jumlah_Unit]]*Table1[[#This Row],[Harga_Satuan]]</f>
        <v>4200000</v>
      </c>
      <c r="N234" s="37">
        <f>Table1[[#This Row],[Total_Pendapatan_Kotor]]*Table1[[#This Row],[Persentase_Diskon]]</f>
        <v>420000</v>
      </c>
      <c r="O234" s="37">
        <f>Table1[[#This Row],[Total_Pendapatan_Kotor]]-Table1[[#This Row],[Potongan_Diskon]]</f>
        <v>3780000</v>
      </c>
      <c r="P234" s="37">
        <f>(Table1[[#This Row],[Jumlah_Unit]]*Table1[[#This Row],[HPP_Satuan]])+(Table1[[#This Row],[Jumlah_Unit]]*Table1[[#This Row],[Biaya_Kirim_Satuan]])</f>
        <v>2450000</v>
      </c>
      <c r="Q234" s="37">
        <f>Table1[[#This Row],[Total_Pendapatan_Bersih]]-Table1[[#This Row],[Total_Biaya]]</f>
        <v>1330000</v>
      </c>
      <c r="R234" s="5">
        <f>Table1[[#This Row],[Laba_Kotor]]/Table1[[#This Row],[Total_Pendapatan_Bersih]]</f>
        <v>0.35185185185185186</v>
      </c>
    </row>
    <row r="235" spans="1:18" ht="20.25" thickBot="1" x14ac:dyDescent="0.6">
      <c r="A235" s="3" t="s">
        <v>264</v>
      </c>
      <c r="B235" s="21">
        <v>45891</v>
      </c>
      <c r="C235" s="1" t="s">
        <v>23</v>
      </c>
      <c r="D235" s="1" t="s">
        <v>32</v>
      </c>
      <c r="E235" s="2">
        <v>3</v>
      </c>
      <c r="F235" s="1" t="s">
        <v>25</v>
      </c>
      <c r="G235" s="1" t="str">
        <f>INDEX(Table2[Nama Produk],MATCH(Table1[[#This Row],[SKU]],Table2[SKU],0))</f>
        <v>Monitor Ergonomis 27</v>
      </c>
      <c r="H235" s="1" t="str">
        <f>VLOOKUP(Table1[[#This Row],[SKU]],Table2[],3,FALSE)</f>
        <v>Elektronik</v>
      </c>
      <c r="I235" s="37">
        <f>INDEX(Table2[Harga Jual],MATCH(Table1[[#This Row],[SKU]],Table2[SKU],0))</f>
        <v>3400000</v>
      </c>
      <c r="J235" s="37">
        <f>VLOOKUP(Table1[[#This Row],[SKU]],Table2[],4,FALSE)</f>
        <v>2100000</v>
      </c>
      <c r="K235" s="37">
        <f>INDEX(Table3[Biaya Kirim per Unit],MATCH(Table1[[#This Row],[Kota]],Table3[Kota],))</f>
        <v>35000</v>
      </c>
      <c r="L235" s="39">
        <f>VLOOKUP(Table1[[#This Row],[Kode_Promo]],Table4[],2,FALSE)</f>
        <v>0.3</v>
      </c>
      <c r="M235" s="37">
        <f>Table1[[#This Row],[Jumlah_Unit]]*Table1[[#This Row],[Harga_Satuan]]</f>
        <v>10200000</v>
      </c>
      <c r="N235" s="37">
        <f>Table1[[#This Row],[Total_Pendapatan_Kotor]]*Table1[[#This Row],[Persentase_Diskon]]</f>
        <v>3060000</v>
      </c>
      <c r="O235" s="37">
        <f>Table1[[#This Row],[Total_Pendapatan_Kotor]]-Table1[[#This Row],[Potongan_Diskon]]</f>
        <v>7140000</v>
      </c>
      <c r="P235" s="37">
        <f>(Table1[[#This Row],[Jumlah_Unit]]*Table1[[#This Row],[HPP_Satuan]])+(Table1[[#This Row],[Jumlah_Unit]]*Table1[[#This Row],[Biaya_Kirim_Satuan]])</f>
        <v>6405000</v>
      </c>
      <c r="Q235" s="37">
        <f>Table1[[#This Row],[Total_Pendapatan_Bersih]]-Table1[[#This Row],[Total_Biaya]]</f>
        <v>735000</v>
      </c>
      <c r="R235" s="5">
        <f>Table1[[#This Row],[Laba_Kotor]]/Table1[[#This Row],[Total_Pendapatan_Bersih]]</f>
        <v>0.10294117647058823</v>
      </c>
    </row>
    <row r="236" spans="1:18" ht="20.25" thickBot="1" x14ac:dyDescent="0.6">
      <c r="A236" s="3" t="s">
        <v>265</v>
      </c>
      <c r="B236" s="21">
        <v>45892</v>
      </c>
      <c r="C236" s="1" t="s">
        <v>27</v>
      </c>
      <c r="D236" s="1" t="s">
        <v>35</v>
      </c>
      <c r="E236" s="2">
        <v>4</v>
      </c>
      <c r="F236" s="1" t="s">
        <v>29</v>
      </c>
      <c r="G236" s="1" t="str">
        <f>INDEX(Table2[Nama Produk],MATCH(Table1[[#This Row],[SKU]],Table2[SKU],0))</f>
        <v>Meja Adjustable</v>
      </c>
      <c r="H236" s="1" t="str">
        <f>VLOOKUP(Table1[[#This Row],[SKU]],Table2[],3,FALSE)</f>
        <v>Furnitur</v>
      </c>
      <c r="I236" s="37">
        <f>INDEX(Table2[Harga Jual],MATCH(Table1[[#This Row],[SKU]],Table2[SKU],0))</f>
        <v>4200000</v>
      </c>
      <c r="J236" s="37">
        <f>VLOOKUP(Table1[[#This Row],[SKU]],Table2[],4,FALSE)</f>
        <v>2400000</v>
      </c>
      <c r="K236" s="37">
        <f>INDEX(Table3[Biaya Kirim per Unit],MATCH(Table1[[#This Row],[Kota]],Table3[Kota],))</f>
        <v>50000</v>
      </c>
      <c r="L236" s="39">
        <f>VLOOKUP(Table1[[#This Row],[Kode_Promo]],Table4[],2,FALSE)</f>
        <v>0</v>
      </c>
      <c r="M236" s="37">
        <f>Table1[[#This Row],[Jumlah_Unit]]*Table1[[#This Row],[Harga_Satuan]]</f>
        <v>16800000</v>
      </c>
      <c r="N236" s="37">
        <f>Table1[[#This Row],[Total_Pendapatan_Kotor]]*Table1[[#This Row],[Persentase_Diskon]]</f>
        <v>0</v>
      </c>
      <c r="O236" s="37">
        <f>Table1[[#This Row],[Total_Pendapatan_Kotor]]-Table1[[#This Row],[Potongan_Diskon]]</f>
        <v>16800000</v>
      </c>
      <c r="P236" s="37">
        <f>(Table1[[#This Row],[Jumlah_Unit]]*Table1[[#This Row],[HPP_Satuan]])+(Table1[[#This Row],[Jumlah_Unit]]*Table1[[#This Row],[Biaya_Kirim_Satuan]])</f>
        <v>9800000</v>
      </c>
      <c r="Q236" s="37">
        <f>Table1[[#This Row],[Total_Pendapatan_Bersih]]-Table1[[#This Row],[Total_Biaya]]</f>
        <v>7000000</v>
      </c>
      <c r="R236" s="5">
        <f>Table1[[#This Row],[Laba_Kotor]]/Table1[[#This Row],[Total_Pendapatan_Bersih]]</f>
        <v>0.41666666666666669</v>
      </c>
    </row>
    <row r="237" spans="1:18" ht="20.25" thickBot="1" x14ac:dyDescent="0.6">
      <c r="A237" s="3" t="s">
        <v>266</v>
      </c>
      <c r="B237" s="21">
        <v>45893</v>
      </c>
      <c r="C237" s="1" t="s">
        <v>31</v>
      </c>
      <c r="D237" s="1" t="s">
        <v>20</v>
      </c>
      <c r="E237" s="2">
        <v>2</v>
      </c>
      <c r="F237" s="1" t="s">
        <v>33</v>
      </c>
      <c r="G237" s="1" t="str">
        <f>INDEX(Table2[Nama Produk],MATCH(Table1[[#This Row],[SKU]],Table2[SKU],0))</f>
        <v>Laptop Pro 14</v>
      </c>
      <c r="H237" s="1" t="str">
        <f>VLOOKUP(Table1[[#This Row],[SKU]],Table2[],3,FALSE)</f>
        <v>Elektronik</v>
      </c>
      <c r="I237" s="37">
        <f>INDEX(Table2[Harga Jual],MATCH(Table1[[#This Row],[SKU]],Table2[SKU],0))</f>
        <v>12000000</v>
      </c>
      <c r="J237" s="37">
        <f>VLOOKUP(Table1[[#This Row],[SKU]],Table2[],4,FALSE)</f>
        <v>8500000</v>
      </c>
      <c r="K237" s="37">
        <f>INDEX(Table3[Biaya Kirim per Unit],MATCH(Table1[[#This Row],[Kota]],Table3[Kota],))</f>
        <v>65000</v>
      </c>
      <c r="L237" s="39">
        <f>VLOOKUP(Table1[[#This Row],[Kode_Promo]],Table4[],2,FALSE)</f>
        <v>0.2</v>
      </c>
      <c r="M237" s="37">
        <f>Table1[[#This Row],[Jumlah_Unit]]*Table1[[#This Row],[Harga_Satuan]]</f>
        <v>24000000</v>
      </c>
      <c r="N237" s="37">
        <f>Table1[[#This Row],[Total_Pendapatan_Kotor]]*Table1[[#This Row],[Persentase_Diskon]]</f>
        <v>4800000</v>
      </c>
      <c r="O237" s="37">
        <f>Table1[[#This Row],[Total_Pendapatan_Kotor]]-Table1[[#This Row],[Potongan_Diskon]]</f>
        <v>19200000</v>
      </c>
      <c r="P237" s="37">
        <f>(Table1[[#This Row],[Jumlah_Unit]]*Table1[[#This Row],[HPP_Satuan]])+(Table1[[#This Row],[Jumlah_Unit]]*Table1[[#This Row],[Biaya_Kirim_Satuan]])</f>
        <v>17130000</v>
      </c>
      <c r="Q237" s="37">
        <f>Table1[[#This Row],[Total_Pendapatan_Bersih]]-Table1[[#This Row],[Total_Biaya]]</f>
        <v>2070000</v>
      </c>
      <c r="R237" s="5">
        <f>Table1[[#This Row],[Laba_Kotor]]/Table1[[#This Row],[Total_Pendapatan_Bersih]]</f>
        <v>0.10781250000000001</v>
      </c>
    </row>
    <row r="238" spans="1:18" ht="20.25" thickBot="1" x14ac:dyDescent="0.6">
      <c r="A238" s="3" t="s">
        <v>267</v>
      </c>
      <c r="B238" s="21">
        <v>45894</v>
      </c>
      <c r="C238" s="1" t="s">
        <v>19</v>
      </c>
      <c r="D238" s="1" t="s">
        <v>24</v>
      </c>
      <c r="E238" s="2">
        <v>3</v>
      </c>
      <c r="F238" s="1" t="s">
        <v>21</v>
      </c>
      <c r="G238" s="1" t="str">
        <f>INDEX(Table2[Nama Produk],MATCH(Table1[[#This Row],[SKU]],Table2[SKU],0))</f>
        <v>Mechanical Keyboard</v>
      </c>
      <c r="H238" s="1" t="str">
        <f>VLOOKUP(Table1[[#This Row],[SKU]],Table2[],3,FALSE)</f>
        <v>Aksesori</v>
      </c>
      <c r="I238" s="37">
        <f>INDEX(Table2[Harga Jual],MATCH(Table1[[#This Row],[SKU]],Table2[SKU],0))</f>
        <v>850000</v>
      </c>
      <c r="J238" s="37">
        <f>VLOOKUP(Table1[[#This Row],[SKU]],Table2[],4,FALSE)</f>
        <v>450000</v>
      </c>
      <c r="K238" s="37">
        <f>INDEX(Table3[Biaya Kirim per Unit],MATCH(Table1[[#This Row],[Kota]],Table3[Kota],))</f>
        <v>25000</v>
      </c>
      <c r="L238" s="39">
        <f>VLOOKUP(Table1[[#This Row],[Kode_Promo]],Table4[],2,FALSE)</f>
        <v>0.1</v>
      </c>
      <c r="M238" s="37">
        <f>Table1[[#This Row],[Jumlah_Unit]]*Table1[[#This Row],[Harga_Satuan]]</f>
        <v>2550000</v>
      </c>
      <c r="N238" s="37">
        <f>Table1[[#This Row],[Total_Pendapatan_Kotor]]*Table1[[#This Row],[Persentase_Diskon]]</f>
        <v>255000</v>
      </c>
      <c r="O238" s="37">
        <f>Table1[[#This Row],[Total_Pendapatan_Kotor]]-Table1[[#This Row],[Potongan_Diskon]]</f>
        <v>2295000</v>
      </c>
      <c r="P238" s="37">
        <f>(Table1[[#This Row],[Jumlah_Unit]]*Table1[[#This Row],[HPP_Satuan]])+(Table1[[#This Row],[Jumlah_Unit]]*Table1[[#This Row],[Biaya_Kirim_Satuan]])</f>
        <v>1425000</v>
      </c>
      <c r="Q238" s="37">
        <f>Table1[[#This Row],[Total_Pendapatan_Bersih]]-Table1[[#This Row],[Total_Biaya]]</f>
        <v>870000</v>
      </c>
      <c r="R238" s="5">
        <f>Table1[[#This Row],[Laba_Kotor]]/Table1[[#This Row],[Total_Pendapatan_Bersih]]</f>
        <v>0.37908496732026142</v>
      </c>
    </row>
    <row r="239" spans="1:18" ht="20.25" thickBot="1" x14ac:dyDescent="0.6">
      <c r="A239" s="3" t="s">
        <v>268</v>
      </c>
      <c r="B239" s="21">
        <v>45895</v>
      </c>
      <c r="C239" s="1" t="s">
        <v>23</v>
      </c>
      <c r="D239" s="1" t="s">
        <v>35</v>
      </c>
      <c r="E239" s="2">
        <v>2</v>
      </c>
      <c r="F239" s="1" t="s">
        <v>25</v>
      </c>
      <c r="G239" s="1" t="str">
        <f>INDEX(Table2[Nama Produk],MATCH(Table1[[#This Row],[SKU]],Table2[SKU],0))</f>
        <v>Meja Adjustable</v>
      </c>
      <c r="H239" s="1" t="str">
        <f>VLOOKUP(Table1[[#This Row],[SKU]],Table2[],3,FALSE)</f>
        <v>Furnitur</v>
      </c>
      <c r="I239" s="37">
        <f>INDEX(Table2[Harga Jual],MATCH(Table1[[#This Row],[SKU]],Table2[SKU],0))</f>
        <v>4200000</v>
      </c>
      <c r="J239" s="37">
        <f>VLOOKUP(Table1[[#This Row],[SKU]],Table2[],4,FALSE)</f>
        <v>2400000</v>
      </c>
      <c r="K239" s="37">
        <f>INDEX(Table3[Biaya Kirim per Unit],MATCH(Table1[[#This Row],[Kota]],Table3[Kota],))</f>
        <v>35000</v>
      </c>
      <c r="L239" s="39">
        <f>VLOOKUP(Table1[[#This Row],[Kode_Promo]],Table4[],2,FALSE)</f>
        <v>0.3</v>
      </c>
      <c r="M239" s="37">
        <f>Table1[[#This Row],[Jumlah_Unit]]*Table1[[#This Row],[Harga_Satuan]]</f>
        <v>8400000</v>
      </c>
      <c r="N239" s="37">
        <f>Table1[[#This Row],[Total_Pendapatan_Kotor]]*Table1[[#This Row],[Persentase_Diskon]]</f>
        <v>2520000</v>
      </c>
      <c r="O239" s="37">
        <f>Table1[[#This Row],[Total_Pendapatan_Kotor]]-Table1[[#This Row],[Potongan_Diskon]]</f>
        <v>5880000</v>
      </c>
      <c r="P239" s="37">
        <f>(Table1[[#This Row],[Jumlah_Unit]]*Table1[[#This Row],[HPP_Satuan]])+(Table1[[#This Row],[Jumlah_Unit]]*Table1[[#This Row],[Biaya_Kirim_Satuan]])</f>
        <v>4870000</v>
      </c>
      <c r="Q239" s="37">
        <f>Table1[[#This Row],[Total_Pendapatan_Bersih]]-Table1[[#This Row],[Total_Biaya]]</f>
        <v>1010000</v>
      </c>
      <c r="R239" s="5">
        <f>Table1[[#This Row],[Laba_Kotor]]/Table1[[#This Row],[Total_Pendapatan_Bersih]]</f>
        <v>0.17176870748299319</v>
      </c>
    </row>
    <row r="240" spans="1:18" ht="20.25" thickBot="1" x14ac:dyDescent="0.6">
      <c r="A240" s="3" t="s">
        <v>269</v>
      </c>
      <c r="B240" s="21">
        <v>45896</v>
      </c>
      <c r="C240" s="1" t="s">
        <v>27</v>
      </c>
      <c r="D240" s="1" t="s">
        <v>32</v>
      </c>
      <c r="E240" s="2">
        <v>6</v>
      </c>
      <c r="F240" s="1" t="s">
        <v>29</v>
      </c>
      <c r="G240" s="1" t="str">
        <f>INDEX(Table2[Nama Produk],MATCH(Table1[[#This Row],[SKU]],Table2[SKU],0))</f>
        <v>Monitor Ergonomis 27</v>
      </c>
      <c r="H240" s="1" t="str">
        <f>VLOOKUP(Table1[[#This Row],[SKU]],Table2[],3,FALSE)</f>
        <v>Elektronik</v>
      </c>
      <c r="I240" s="37">
        <f>INDEX(Table2[Harga Jual],MATCH(Table1[[#This Row],[SKU]],Table2[SKU],0))</f>
        <v>3400000</v>
      </c>
      <c r="J240" s="37">
        <f>VLOOKUP(Table1[[#This Row],[SKU]],Table2[],4,FALSE)</f>
        <v>2100000</v>
      </c>
      <c r="K240" s="37">
        <f>INDEX(Table3[Biaya Kirim per Unit],MATCH(Table1[[#This Row],[Kota]],Table3[Kota],))</f>
        <v>50000</v>
      </c>
      <c r="L240" s="39">
        <f>VLOOKUP(Table1[[#This Row],[Kode_Promo]],Table4[],2,FALSE)</f>
        <v>0</v>
      </c>
      <c r="M240" s="37">
        <f>Table1[[#This Row],[Jumlah_Unit]]*Table1[[#This Row],[Harga_Satuan]]</f>
        <v>20400000</v>
      </c>
      <c r="N240" s="37">
        <f>Table1[[#This Row],[Total_Pendapatan_Kotor]]*Table1[[#This Row],[Persentase_Diskon]]</f>
        <v>0</v>
      </c>
      <c r="O240" s="37">
        <f>Table1[[#This Row],[Total_Pendapatan_Kotor]]-Table1[[#This Row],[Potongan_Diskon]]</f>
        <v>20400000</v>
      </c>
      <c r="P240" s="37">
        <f>(Table1[[#This Row],[Jumlah_Unit]]*Table1[[#This Row],[HPP_Satuan]])+(Table1[[#This Row],[Jumlah_Unit]]*Table1[[#This Row],[Biaya_Kirim_Satuan]])</f>
        <v>12900000</v>
      </c>
      <c r="Q240" s="37">
        <f>Table1[[#This Row],[Total_Pendapatan_Bersih]]-Table1[[#This Row],[Total_Biaya]]</f>
        <v>7500000</v>
      </c>
      <c r="R240" s="5">
        <f>Table1[[#This Row],[Laba_Kotor]]/Table1[[#This Row],[Total_Pendapatan_Bersih]]</f>
        <v>0.36764705882352944</v>
      </c>
    </row>
    <row r="241" spans="1:18" ht="20.25" thickBot="1" x14ac:dyDescent="0.6">
      <c r="A241" s="3" t="s">
        <v>270</v>
      </c>
      <c r="B241" s="21">
        <v>45897</v>
      </c>
      <c r="C241" s="1" t="s">
        <v>31</v>
      </c>
      <c r="D241" s="1" t="s">
        <v>28</v>
      </c>
      <c r="E241" s="2">
        <v>1</v>
      </c>
      <c r="F241" s="1" t="s">
        <v>33</v>
      </c>
      <c r="G241" s="1" t="str">
        <f>INDEX(Table2[Nama Produk],MATCH(Table1[[#This Row],[SKU]],Table2[SKU],0))</f>
        <v>Kursi Kerja Ergonomis</v>
      </c>
      <c r="H241" s="1" t="str">
        <f>VLOOKUP(Table1[[#This Row],[SKU]],Table2[],3,FALSE)</f>
        <v>Furnitur</v>
      </c>
      <c r="I241" s="37">
        <f>INDEX(Table2[Harga Jual],MATCH(Table1[[#This Row],[SKU]],Table2[SKU],0))</f>
        <v>2100000</v>
      </c>
      <c r="J241" s="37">
        <f>VLOOKUP(Table1[[#This Row],[SKU]],Table2[],4,FALSE)</f>
        <v>1200000</v>
      </c>
      <c r="K241" s="37">
        <f>INDEX(Table3[Biaya Kirim per Unit],MATCH(Table1[[#This Row],[Kota]],Table3[Kota],))</f>
        <v>65000</v>
      </c>
      <c r="L241" s="39">
        <f>VLOOKUP(Table1[[#This Row],[Kode_Promo]],Table4[],2,FALSE)</f>
        <v>0.2</v>
      </c>
      <c r="M241" s="37">
        <f>Table1[[#This Row],[Jumlah_Unit]]*Table1[[#This Row],[Harga_Satuan]]</f>
        <v>2100000</v>
      </c>
      <c r="N241" s="37">
        <f>Table1[[#This Row],[Total_Pendapatan_Kotor]]*Table1[[#This Row],[Persentase_Diskon]]</f>
        <v>420000</v>
      </c>
      <c r="O241" s="37">
        <f>Table1[[#This Row],[Total_Pendapatan_Kotor]]-Table1[[#This Row],[Potongan_Diskon]]</f>
        <v>1680000</v>
      </c>
      <c r="P241" s="37">
        <f>(Table1[[#This Row],[Jumlah_Unit]]*Table1[[#This Row],[HPP_Satuan]])+(Table1[[#This Row],[Jumlah_Unit]]*Table1[[#This Row],[Biaya_Kirim_Satuan]])</f>
        <v>1265000</v>
      </c>
      <c r="Q241" s="37">
        <f>Table1[[#This Row],[Total_Pendapatan_Bersih]]-Table1[[#This Row],[Total_Biaya]]</f>
        <v>415000</v>
      </c>
      <c r="R241" s="5">
        <f>Table1[[#This Row],[Laba_Kotor]]/Table1[[#This Row],[Total_Pendapatan_Bersih]]</f>
        <v>0.24702380952380953</v>
      </c>
    </row>
    <row r="242" spans="1:18" ht="20.25" thickBot="1" x14ac:dyDescent="0.6">
      <c r="A242" s="3" t="s">
        <v>271</v>
      </c>
      <c r="B242" s="21">
        <v>45898</v>
      </c>
      <c r="C242" s="1" t="s">
        <v>19</v>
      </c>
      <c r="D242" s="1" t="s">
        <v>20</v>
      </c>
      <c r="E242" s="2">
        <v>4</v>
      </c>
      <c r="F242" s="1" t="s">
        <v>21</v>
      </c>
      <c r="G242" s="1" t="str">
        <f>INDEX(Table2[Nama Produk],MATCH(Table1[[#This Row],[SKU]],Table2[SKU],0))</f>
        <v>Laptop Pro 14</v>
      </c>
      <c r="H242" s="1" t="str">
        <f>VLOOKUP(Table1[[#This Row],[SKU]],Table2[],3,FALSE)</f>
        <v>Elektronik</v>
      </c>
      <c r="I242" s="37">
        <f>INDEX(Table2[Harga Jual],MATCH(Table1[[#This Row],[SKU]],Table2[SKU],0))</f>
        <v>12000000</v>
      </c>
      <c r="J242" s="37">
        <f>VLOOKUP(Table1[[#This Row],[SKU]],Table2[],4,FALSE)</f>
        <v>8500000</v>
      </c>
      <c r="K242" s="37">
        <f>INDEX(Table3[Biaya Kirim per Unit],MATCH(Table1[[#This Row],[Kota]],Table3[Kota],))</f>
        <v>25000</v>
      </c>
      <c r="L242" s="39">
        <f>VLOOKUP(Table1[[#This Row],[Kode_Promo]],Table4[],2,FALSE)</f>
        <v>0.1</v>
      </c>
      <c r="M242" s="37">
        <f>Table1[[#This Row],[Jumlah_Unit]]*Table1[[#This Row],[Harga_Satuan]]</f>
        <v>48000000</v>
      </c>
      <c r="N242" s="37">
        <f>Table1[[#This Row],[Total_Pendapatan_Kotor]]*Table1[[#This Row],[Persentase_Diskon]]</f>
        <v>4800000</v>
      </c>
      <c r="O242" s="37">
        <f>Table1[[#This Row],[Total_Pendapatan_Kotor]]-Table1[[#This Row],[Potongan_Diskon]]</f>
        <v>43200000</v>
      </c>
      <c r="P242" s="37">
        <f>(Table1[[#This Row],[Jumlah_Unit]]*Table1[[#This Row],[HPP_Satuan]])+(Table1[[#This Row],[Jumlah_Unit]]*Table1[[#This Row],[Biaya_Kirim_Satuan]])</f>
        <v>34100000</v>
      </c>
      <c r="Q242" s="37">
        <f>Table1[[#This Row],[Total_Pendapatan_Bersih]]-Table1[[#This Row],[Total_Biaya]]</f>
        <v>9100000</v>
      </c>
      <c r="R242" s="5">
        <f>Table1[[#This Row],[Laba_Kotor]]/Table1[[#This Row],[Total_Pendapatan_Bersih]]</f>
        <v>0.21064814814814814</v>
      </c>
    </row>
    <row r="243" spans="1:18" ht="20.25" thickBot="1" x14ac:dyDescent="0.6">
      <c r="A243" s="3" t="s">
        <v>272</v>
      </c>
      <c r="B243" s="21">
        <v>45899</v>
      </c>
      <c r="C243" s="1" t="s">
        <v>23</v>
      </c>
      <c r="D243" s="1" t="s">
        <v>24</v>
      </c>
      <c r="E243" s="2">
        <v>5</v>
      </c>
      <c r="F243" s="1" t="s">
        <v>25</v>
      </c>
      <c r="G243" s="1" t="str">
        <f>INDEX(Table2[Nama Produk],MATCH(Table1[[#This Row],[SKU]],Table2[SKU],0))</f>
        <v>Mechanical Keyboard</v>
      </c>
      <c r="H243" s="1" t="str">
        <f>VLOOKUP(Table1[[#This Row],[SKU]],Table2[],3,FALSE)</f>
        <v>Aksesori</v>
      </c>
      <c r="I243" s="37">
        <f>INDEX(Table2[Harga Jual],MATCH(Table1[[#This Row],[SKU]],Table2[SKU],0))</f>
        <v>850000</v>
      </c>
      <c r="J243" s="37">
        <f>VLOOKUP(Table1[[#This Row],[SKU]],Table2[],4,FALSE)</f>
        <v>450000</v>
      </c>
      <c r="K243" s="37">
        <f>INDEX(Table3[Biaya Kirim per Unit],MATCH(Table1[[#This Row],[Kota]],Table3[Kota],))</f>
        <v>35000</v>
      </c>
      <c r="L243" s="39">
        <f>VLOOKUP(Table1[[#This Row],[Kode_Promo]],Table4[],2,FALSE)</f>
        <v>0.3</v>
      </c>
      <c r="M243" s="37">
        <f>Table1[[#This Row],[Jumlah_Unit]]*Table1[[#This Row],[Harga_Satuan]]</f>
        <v>4250000</v>
      </c>
      <c r="N243" s="37">
        <f>Table1[[#This Row],[Total_Pendapatan_Kotor]]*Table1[[#This Row],[Persentase_Diskon]]</f>
        <v>1275000</v>
      </c>
      <c r="O243" s="37">
        <f>Table1[[#This Row],[Total_Pendapatan_Kotor]]-Table1[[#This Row],[Potongan_Diskon]]</f>
        <v>2975000</v>
      </c>
      <c r="P243" s="37">
        <f>(Table1[[#This Row],[Jumlah_Unit]]*Table1[[#This Row],[HPP_Satuan]])+(Table1[[#This Row],[Jumlah_Unit]]*Table1[[#This Row],[Biaya_Kirim_Satuan]])</f>
        <v>2425000</v>
      </c>
      <c r="Q243" s="37">
        <f>Table1[[#This Row],[Total_Pendapatan_Bersih]]-Table1[[#This Row],[Total_Biaya]]</f>
        <v>550000</v>
      </c>
      <c r="R243" s="5">
        <f>Table1[[#This Row],[Laba_Kotor]]/Table1[[#This Row],[Total_Pendapatan_Bersih]]</f>
        <v>0.18487394957983194</v>
      </c>
    </row>
    <row r="244" spans="1:18" ht="20.25" thickBot="1" x14ac:dyDescent="0.6">
      <c r="A244" s="3" t="s">
        <v>273</v>
      </c>
      <c r="B244" s="21">
        <v>45900</v>
      </c>
      <c r="C244" s="1" t="s">
        <v>27</v>
      </c>
      <c r="D244" s="1" t="s">
        <v>28</v>
      </c>
      <c r="E244" s="2">
        <v>3</v>
      </c>
      <c r="F244" s="1" t="s">
        <v>29</v>
      </c>
      <c r="G244" s="1" t="str">
        <f>INDEX(Table2[Nama Produk],MATCH(Table1[[#This Row],[SKU]],Table2[SKU],0))</f>
        <v>Kursi Kerja Ergonomis</v>
      </c>
      <c r="H244" s="1" t="str">
        <f>VLOOKUP(Table1[[#This Row],[SKU]],Table2[],3,FALSE)</f>
        <v>Furnitur</v>
      </c>
      <c r="I244" s="37">
        <f>INDEX(Table2[Harga Jual],MATCH(Table1[[#This Row],[SKU]],Table2[SKU],0))</f>
        <v>2100000</v>
      </c>
      <c r="J244" s="37">
        <f>VLOOKUP(Table1[[#This Row],[SKU]],Table2[],4,FALSE)</f>
        <v>1200000</v>
      </c>
      <c r="K244" s="37">
        <f>INDEX(Table3[Biaya Kirim per Unit],MATCH(Table1[[#This Row],[Kota]],Table3[Kota],))</f>
        <v>50000</v>
      </c>
      <c r="L244" s="39">
        <f>VLOOKUP(Table1[[#This Row],[Kode_Promo]],Table4[],2,FALSE)</f>
        <v>0</v>
      </c>
      <c r="M244" s="37">
        <f>Table1[[#This Row],[Jumlah_Unit]]*Table1[[#This Row],[Harga_Satuan]]</f>
        <v>6300000</v>
      </c>
      <c r="N244" s="37">
        <f>Table1[[#This Row],[Total_Pendapatan_Kotor]]*Table1[[#This Row],[Persentase_Diskon]]</f>
        <v>0</v>
      </c>
      <c r="O244" s="37">
        <f>Table1[[#This Row],[Total_Pendapatan_Kotor]]-Table1[[#This Row],[Potongan_Diskon]]</f>
        <v>6300000</v>
      </c>
      <c r="P244" s="37">
        <f>(Table1[[#This Row],[Jumlah_Unit]]*Table1[[#This Row],[HPP_Satuan]])+(Table1[[#This Row],[Jumlah_Unit]]*Table1[[#This Row],[Biaya_Kirim_Satuan]])</f>
        <v>3750000</v>
      </c>
      <c r="Q244" s="37">
        <f>Table1[[#This Row],[Total_Pendapatan_Bersih]]-Table1[[#This Row],[Total_Biaya]]</f>
        <v>2550000</v>
      </c>
      <c r="R244" s="5">
        <f>Table1[[#This Row],[Laba_Kotor]]/Table1[[#This Row],[Total_Pendapatan_Bersih]]</f>
        <v>0.40476190476190477</v>
      </c>
    </row>
    <row r="245" spans="1:18" ht="20.25" thickBot="1" x14ac:dyDescent="0.6">
      <c r="A245" s="3" t="s">
        <v>274</v>
      </c>
      <c r="B245" s="21">
        <v>45901</v>
      </c>
      <c r="C245" s="1" t="s">
        <v>31</v>
      </c>
      <c r="D245" s="1" t="s">
        <v>32</v>
      </c>
      <c r="E245" s="2">
        <v>2</v>
      </c>
      <c r="F245" s="1" t="s">
        <v>33</v>
      </c>
      <c r="G245" s="1" t="str">
        <f>INDEX(Table2[Nama Produk],MATCH(Table1[[#This Row],[SKU]],Table2[SKU],0))</f>
        <v>Monitor Ergonomis 27</v>
      </c>
      <c r="H245" s="1" t="str">
        <f>VLOOKUP(Table1[[#This Row],[SKU]],Table2[],3,FALSE)</f>
        <v>Elektronik</v>
      </c>
      <c r="I245" s="37">
        <f>INDEX(Table2[Harga Jual],MATCH(Table1[[#This Row],[SKU]],Table2[SKU],0))</f>
        <v>3400000</v>
      </c>
      <c r="J245" s="37">
        <f>VLOOKUP(Table1[[#This Row],[SKU]],Table2[],4,FALSE)</f>
        <v>2100000</v>
      </c>
      <c r="K245" s="37">
        <f>INDEX(Table3[Biaya Kirim per Unit],MATCH(Table1[[#This Row],[Kota]],Table3[Kota],))</f>
        <v>65000</v>
      </c>
      <c r="L245" s="39">
        <f>VLOOKUP(Table1[[#This Row],[Kode_Promo]],Table4[],2,FALSE)</f>
        <v>0.2</v>
      </c>
      <c r="M245" s="37">
        <f>Table1[[#This Row],[Jumlah_Unit]]*Table1[[#This Row],[Harga_Satuan]]</f>
        <v>6800000</v>
      </c>
      <c r="N245" s="37">
        <f>Table1[[#This Row],[Total_Pendapatan_Kotor]]*Table1[[#This Row],[Persentase_Diskon]]</f>
        <v>1360000</v>
      </c>
      <c r="O245" s="37">
        <f>Table1[[#This Row],[Total_Pendapatan_Kotor]]-Table1[[#This Row],[Potongan_Diskon]]</f>
        <v>5440000</v>
      </c>
      <c r="P245" s="37">
        <f>(Table1[[#This Row],[Jumlah_Unit]]*Table1[[#This Row],[HPP_Satuan]])+(Table1[[#This Row],[Jumlah_Unit]]*Table1[[#This Row],[Biaya_Kirim_Satuan]])</f>
        <v>4330000</v>
      </c>
      <c r="Q245" s="37">
        <f>Table1[[#This Row],[Total_Pendapatan_Bersih]]-Table1[[#This Row],[Total_Biaya]]</f>
        <v>1110000</v>
      </c>
      <c r="R245" s="5">
        <f>Table1[[#This Row],[Laba_Kotor]]/Table1[[#This Row],[Total_Pendapatan_Bersih]]</f>
        <v>0.20404411764705882</v>
      </c>
    </row>
    <row r="246" spans="1:18" ht="20.25" thickBot="1" x14ac:dyDescent="0.6">
      <c r="A246" s="3" t="s">
        <v>275</v>
      </c>
      <c r="B246" s="21">
        <v>45902</v>
      </c>
      <c r="C246" s="1" t="s">
        <v>19</v>
      </c>
      <c r="D246" s="1" t="s">
        <v>35</v>
      </c>
      <c r="E246" s="2">
        <v>2</v>
      </c>
      <c r="F246" s="1" t="s">
        <v>21</v>
      </c>
      <c r="G246" s="1" t="str">
        <f>INDEX(Table2[Nama Produk],MATCH(Table1[[#This Row],[SKU]],Table2[SKU],0))</f>
        <v>Meja Adjustable</v>
      </c>
      <c r="H246" s="1" t="str">
        <f>VLOOKUP(Table1[[#This Row],[SKU]],Table2[],3,FALSE)</f>
        <v>Furnitur</v>
      </c>
      <c r="I246" s="37">
        <f>INDEX(Table2[Harga Jual],MATCH(Table1[[#This Row],[SKU]],Table2[SKU],0))</f>
        <v>4200000</v>
      </c>
      <c r="J246" s="37">
        <f>VLOOKUP(Table1[[#This Row],[SKU]],Table2[],4,FALSE)</f>
        <v>2400000</v>
      </c>
      <c r="K246" s="37">
        <f>INDEX(Table3[Biaya Kirim per Unit],MATCH(Table1[[#This Row],[Kota]],Table3[Kota],))</f>
        <v>25000</v>
      </c>
      <c r="L246" s="39">
        <f>VLOOKUP(Table1[[#This Row],[Kode_Promo]],Table4[],2,FALSE)</f>
        <v>0.1</v>
      </c>
      <c r="M246" s="37">
        <f>Table1[[#This Row],[Jumlah_Unit]]*Table1[[#This Row],[Harga_Satuan]]</f>
        <v>8400000</v>
      </c>
      <c r="N246" s="37">
        <f>Table1[[#This Row],[Total_Pendapatan_Kotor]]*Table1[[#This Row],[Persentase_Diskon]]</f>
        <v>840000</v>
      </c>
      <c r="O246" s="37">
        <f>Table1[[#This Row],[Total_Pendapatan_Kotor]]-Table1[[#This Row],[Potongan_Diskon]]</f>
        <v>7560000</v>
      </c>
      <c r="P246" s="37">
        <f>(Table1[[#This Row],[Jumlah_Unit]]*Table1[[#This Row],[HPP_Satuan]])+(Table1[[#This Row],[Jumlah_Unit]]*Table1[[#This Row],[Biaya_Kirim_Satuan]])</f>
        <v>4850000</v>
      </c>
      <c r="Q246" s="37">
        <f>Table1[[#This Row],[Total_Pendapatan_Bersih]]-Table1[[#This Row],[Total_Biaya]]</f>
        <v>2710000</v>
      </c>
      <c r="R246" s="5">
        <f>Table1[[#This Row],[Laba_Kotor]]/Table1[[#This Row],[Total_Pendapatan_Bersih]]</f>
        <v>0.35846560846560849</v>
      </c>
    </row>
    <row r="247" spans="1:18" ht="20.25" thickBot="1" x14ac:dyDescent="0.6">
      <c r="A247" s="3" t="s">
        <v>276</v>
      </c>
      <c r="B247" s="21">
        <v>45903</v>
      </c>
      <c r="C247" s="1" t="s">
        <v>23</v>
      </c>
      <c r="D247" s="1" t="s">
        <v>20</v>
      </c>
      <c r="E247" s="2">
        <v>3</v>
      </c>
      <c r="F247" s="1" t="s">
        <v>29</v>
      </c>
      <c r="G247" s="1" t="str">
        <f>INDEX(Table2[Nama Produk],MATCH(Table1[[#This Row],[SKU]],Table2[SKU],0))</f>
        <v>Laptop Pro 14</v>
      </c>
      <c r="H247" s="1" t="str">
        <f>VLOOKUP(Table1[[#This Row],[SKU]],Table2[],3,FALSE)</f>
        <v>Elektronik</v>
      </c>
      <c r="I247" s="37">
        <f>INDEX(Table2[Harga Jual],MATCH(Table1[[#This Row],[SKU]],Table2[SKU],0))</f>
        <v>12000000</v>
      </c>
      <c r="J247" s="37">
        <f>VLOOKUP(Table1[[#This Row],[SKU]],Table2[],4,FALSE)</f>
        <v>8500000</v>
      </c>
      <c r="K247" s="37">
        <f>INDEX(Table3[Biaya Kirim per Unit],MATCH(Table1[[#This Row],[Kota]],Table3[Kota],))</f>
        <v>35000</v>
      </c>
      <c r="L247" s="39">
        <f>VLOOKUP(Table1[[#This Row],[Kode_Promo]],Table4[],2,FALSE)</f>
        <v>0</v>
      </c>
      <c r="M247" s="37">
        <f>Table1[[#This Row],[Jumlah_Unit]]*Table1[[#This Row],[Harga_Satuan]]</f>
        <v>36000000</v>
      </c>
      <c r="N247" s="37">
        <f>Table1[[#This Row],[Total_Pendapatan_Kotor]]*Table1[[#This Row],[Persentase_Diskon]]</f>
        <v>0</v>
      </c>
      <c r="O247" s="37">
        <f>Table1[[#This Row],[Total_Pendapatan_Kotor]]-Table1[[#This Row],[Potongan_Diskon]]</f>
        <v>36000000</v>
      </c>
      <c r="P247" s="37">
        <f>(Table1[[#This Row],[Jumlah_Unit]]*Table1[[#This Row],[HPP_Satuan]])+(Table1[[#This Row],[Jumlah_Unit]]*Table1[[#This Row],[Biaya_Kirim_Satuan]])</f>
        <v>25605000</v>
      </c>
      <c r="Q247" s="37">
        <f>Table1[[#This Row],[Total_Pendapatan_Bersih]]-Table1[[#This Row],[Total_Biaya]]</f>
        <v>10395000</v>
      </c>
      <c r="R247" s="5">
        <f>Table1[[#This Row],[Laba_Kotor]]/Table1[[#This Row],[Total_Pendapatan_Bersih]]</f>
        <v>0.28875000000000001</v>
      </c>
    </row>
    <row r="248" spans="1:18" ht="20.25" thickBot="1" x14ac:dyDescent="0.6">
      <c r="A248" s="3" t="s">
        <v>277</v>
      </c>
      <c r="B248" s="21">
        <v>45904</v>
      </c>
      <c r="C248" s="1" t="s">
        <v>27</v>
      </c>
      <c r="D248" s="1" t="s">
        <v>24</v>
      </c>
      <c r="E248" s="2">
        <v>7</v>
      </c>
      <c r="F248" s="1" t="s">
        <v>25</v>
      </c>
      <c r="G248" s="1" t="str">
        <f>INDEX(Table2[Nama Produk],MATCH(Table1[[#This Row],[SKU]],Table2[SKU],0))</f>
        <v>Mechanical Keyboard</v>
      </c>
      <c r="H248" s="1" t="str">
        <f>VLOOKUP(Table1[[#This Row],[SKU]],Table2[],3,FALSE)</f>
        <v>Aksesori</v>
      </c>
      <c r="I248" s="37">
        <f>INDEX(Table2[Harga Jual],MATCH(Table1[[#This Row],[SKU]],Table2[SKU],0))</f>
        <v>850000</v>
      </c>
      <c r="J248" s="37">
        <f>VLOOKUP(Table1[[#This Row],[SKU]],Table2[],4,FALSE)</f>
        <v>450000</v>
      </c>
      <c r="K248" s="37">
        <f>INDEX(Table3[Biaya Kirim per Unit],MATCH(Table1[[#This Row],[Kota]],Table3[Kota],))</f>
        <v>50000</v>
      </c>
      <c r="L248" s="39">
        <f>VLOOKUP(Table1[[#This Row],[Kode_Promo]],Table4[],2,FALSE)</f>
        <v>0.3</v>
      </c>
      <c r="M248" s="37">
        <f>Table1[[#This Row],[Jumlah_Unit]]*Table1[[#This Row],[Harga_Satuan]]</f>
        <v>5950000</v>
      </c>
      <c r="N248" s="37">
        <f>Table1[[#This Row],[Total_Pendapatan_Kotor]]*Table1[[#This Row],[Persentase_Diskon]]</f>
        <v>1785000</v>
      </c>
      <c r="O248" s="37">
        <f>Table1[[#This Row],[Total_Pendapatan_Kotor]]-Table1[[#This Row],[Potongan_Diskon]]</f>
        <v>4165000</v>
      </c>
      <c r="P248" s="37">
        <f>(Table1[[#This Row],[Jumlah_Unit]]*Table1[[#This Row],[HPP_Satuan]])+(Table1[[#This Row],[Jumlah_Unit]]*Table1[[#This Row],[Biaya_Kirim_Satuan]])</f>
        <v>3500000</v>
      </c>
      <c r="Q248" s="37">
        <f>Table1[[#This Row],[Total_Pendapatan_Bersih]]-Table1[[#This Row],[Total_Biaya]]</f>
        <v>665000</v>
      </c>
      <c r="R248" s="5">
        <f>Table1[[#This Row],[Laba_Kotor]]/Table1[[#This Row],[Total_Pendapatan_Bersih]]</f>
        <v>0.15966386554621848</v>
      </c>
    </row>
    <row r="249" spans="1:18" ht="20.25" thickBot="1" x14ac:dyDescent="0.6">
      <c r="A249" s="3" t="s">
        <v>278</v>
      </c>
      <c r="B249" s="21">
        <v>45905</v>
      </c>
      <c r="C249" s="1" t="s">
        <v>31</v>
      </c>
      <c r="D249" s="1" t="s">
        <v>35</v>
      </c>
      <c r="E249" s="2">
        <v>4</v>
      </c>
      <c r="F249" s="1" t="s">
        <v>33</v>
      </c>
      <c r="G249" s="1" t="str">
        <f>INDEX(Table2[Nama Produk],MATCH(Table1[[#This Row],[SKU]],Table2[SKU],0))</f>
        <v>Meja Adjustable</v>
      </c>
      <c r="H249" s="1" t="str">
        <f>VLOOKUP(Table1[[#This Row],[SKU]],Table2[],3,FALSE)</f>
        <v>Furnitur</v>
      </c>
      <c r="I249" s="37">
        <f>INDEX(Table2[Harga Jual],MATCH(Table1[[#This Row],[SKU]],Table2[SKU],0))</f>
        <v>4200000</v>
      </c>
      <c r="J249" s="37">
        <f>VLOOKUP(Table1[[#This Row],[SKU]],Table2[],4,FALSE)</f>
        <v>2400000</v>
      </c>
      <c r="K249" s="37">
        <f>INDEX(Table3[Biaya Kirim per Unit],MATCH(Table1[[#This Row],[Kota]],Table3[Kota],))</f>
        <v>65000</v>
      </c>
      <c r="L249" s="39">
        <f>VLOOKUP(Table1[[#This Row],[Kode_Promo]],Table4[],2,FALSE)</f>
        <v>0.2</v>
      </c>
      <c r="M249" s="37">
        <f>Table1[[#This Row],[Jumlah_Unit]]*Table1[[#This Row],[Harga_Satuan]]</f>
        <v>16800000</v>
      </c>
      <c r="N249" s="37">
        <f>Table1[[#This Row],[Total_Pendapatan_Kotor]]*Table1[[#This Row],[Persentase_Diskon]]</f>
        <v>3360000</v>
      </c>
      <c r="O249" s="37">
        <f>Table1[[#This Row],[Total_Pendapatan_Kotor]]-Table1[[#This Row],[Potongan_Diskon]]</f>
        <v>13440000</v>
      </c>
      <c r="P249" s="37">
        <f>(Table1[[#This Row],[Jumlah_Unit]]*Table1[[#This Row],[HPP_Satuan]])+(Table1[[#This Row],[Jumlah_Unit]]*Table1[[#This Row],[Biaya_Kirim_Satuan]])</f>
        <v>9860000</v>
      </c>
      <c r="Q249" s="37">
        <f>Table1[[#This Row],[Total_Pendapatan_Bersih]]-Table1[[#This Row],[Total_Biaya]]</f>
        <v>3580000</v>
      </c>
      <c r="R249" s="5">
        <f>Table1[[#This Row],[Laba_Kotor]]/Table1[[#This Row],[Total_Pendapatan_Bersih]]</f>
        <v>0.26636904761904762</v>
      </c>
    </row>
    <row r="250" spans="1:18" ht="20.25" thickBot="1" x14ac:dyDescent="0.6">
      <c r="A250" s="3" t="s">
        <v>279</v>
      </c>
      <c r="B250" s="21">
        <v>45906</v>
      </c>
      <c r="C250" s="1" t="s">
        <v>19</v>
      </c>
      <c r="D250" s="1" t="s">
        <v>32</v>
      </c>
      <c r="E250" s="2">
        <v>1</v>
      </c>
      <c r="F250" s="1" t="s">
        <v>21</v>
      </c>
      <c r="G250" s="1" t="str">
        <f>INDEX(Table2[Nama Produk],MATCH(Table1[[#This Row],[SKU]],Table2[SKU],0))</f>
        <v>Monitor Ergonomis 27</v>
      </c>
      <c r="H250" s="1" t="str">
        <f>VLOOKUP(Table1[[#This Row],[SKU]],Table2[],3,FALSE)</f>
        <v>Elektronik</v>
      </c>
      <c r="I250" s="37">
        <f>INDEX(Table2[Harga Jual],MATCH(Table1[[#This Row],[SKU]],Table2[SKU],0))</f>
        <v>3400000</v>
      </c>
      <c r="J250" s="37">
        <f>VLOOKUP(Table1[[#This Row],[SKU]],Table2[],4,FALSE)</f>
        <v>2100000</v>
      </c>
      <c r="K250" s="37">
        <f>INDEX(Table3[Biaya Kirim per Unit],MATCH(Table1[[#This Row],[Kota]],Table3[Kota],))</f>
        <v>25000</v>
      </c>
      <c r="L250" s="39">
        <f>VLOOKUP(Table1[[#This Row],[Kode_Promo]],Table4[],2,FALSE)</f>
        <v>0.1</v>
      </c>
      <c r="M250" s="37">
        <f>Table1[[#This Row],[Jumlah_Unit]]*Table1[[#This Row],[Harga_Satuan]]</f>
        <v>3400000</v>
      </c>
      <c r="N250" s="37">
        <f>Table1[[#This Row],[Total_Pendapatan_Kotor]]*Table1[[#This Row],[Persentase_Diskon]]</f>
        <v>340000</v>
      </c>
      <c r="O250" s="37">
        <f>Table1[[#This Row],[Total_Pendapatan_Kotor]]-Table1[[#This Row],[Potongan_Diskon]]</f>
        <v>3060000</v>
      </c>
      <c r="P250" s="37">
        <f>(Table1[[#This Row],[Jumlah_Unit]]*Table1[[#This Row],[HPP_Satuan]])+(Table1[[#This Row],[Jumlah_Unit]]*Table1[[#This Row],[Biaya_Kirim_Satuan]])</f>
        <v>2125000</v>
      </c>
      <c r="Q250" s="37">
        <f>Table1[[#This Row],[Total_Pendapatan_Bersih]]-Table1[[#This Row],[Total_Biaya]]</f>
        <v>935000</v>
      </c>
      <c r="R250" s="5">
        <f>Table1[[#This Row],[Laba_Kotor]]/Table1[[#This Row],[Total_Pendapatan_Bersih]]</f>
        <v>0.30555555555555558</v>
      </c>
    </row>
    <row r="251" spans="1:18" ht="20.25" thickBot="1" x14ac:dyDescent="0.6">
      <c r="A251" s="3" t="s">
        <v>280</v>
      </c>
      <c r="B251" s="21">
        <v>45907</v>
      </c>
      <c r="C251" s="1" t="s">
        <v>23</v>
      </c>
      <c r="D251" s="1" t="s">
        <v>28</v>
      </c>
      <c r="E251" s="2">
        <v>2</v>
      </c>
      <c r="F251" s="1" t="s">
        <v>25</v>
      </c>
      <c r="G251" s="1" t="str">
        <f>INDEX(Table2[Nama Produk],MATCH(Table1[[#This Row],[SKU]],Table2[SKU],0))</f>
        <v>Kursi Kerja Ergonomis</v>
      </c>
      <c r="H251" s="1" t="str">
        <f>VLOOKUP(Table1[[#This Row],[SKU]],Table2[],3,FALSE)</f>
        <v>Furnitur</v>
      </c>
      <c r="I251" s="37">
        <f>INDEX(Table2[Harga Jual],MATCH(Table1[[#This Row],[SKU]],Table2[SKU],0))</f>
        <v>2100000</v>
      </c>
      <c r="J251" s="37">
        <f>VLOOKUP(Table1[[#This Row],[SKU]],Table2[],4,FALSE)</f>
        <v>1200000</v>
      </c>
      <c r="K251" s="37">
        <f>INDEX(Table3[Biaya Kirim per Unit],MATCH(Table1[[#This Row],[Kota]],Table3[Kota],))</f>
        <v>35000</v>
      </c>
      <c r="L251" s="39">
        <f>VLOOKUP(Table1[[#This Row],[Kode_Promo]],Table4[],2,FALSE)</f>
        <v>0.3</v>
      </c>
      <c r="M251" s="37">
        <f>Table1[[#This Row],[Jumlah_Unit]]*Table1[[#This Row],[Harga_Satuan]]</f>
        <v>4200000</v>
      </c>
      <c r="N251" s="37">
        <f>Table1[[#This Row],[Total_Pendapatan_Kotor]]*Table1[[#This Row],[Persentase_Diskon]]</f>
        <v>1260000</v>
      </c>
      <c r="O251" s="37">
        <f>Table1[[#This Row],[Total_Pendapatan_Kotor]]-Table1[[#This Row],[Potongan_Diskon]]</f>
        <v>2940000</v>
      </c>
      <c r="P251" s="37">
        <f>(Table1[[#This Row],[Jumlah_Unit]]*Table1[[#This Row],[HPP_Satuan]])+(Table1[[#This Row],[Jumlah_Unit]]*Table1[[#This Row],[Biaya_Kirim_Satuan]])</f>
        <v>2470000</v>
      </c>
      <c r="Q251" s="37">
        <f>Table1[[#This Row],[Total_Pendapatan_Bersih]]-Table1[[#This Row],[Total_Biaya]]</f>
        <v>470000</v>
      </c>
      <c r="R251" s="5">
        <f>Table1[[#This Row],[Laba_Kotor]]/Table1[[#This Row],[Total_Pendapatan_Bersih]]</f>
        <v>0.1598639455782313</v>
      </c>
    </row>
    <row r="252" spans="1:18" ht="20.25" thickBot="1" x14ac:dyDescent="0.6">
      <c r="A252" s="3" t="s">
        <v>281</v>
      </c>
      <c r="B252" s="21">
        <v>45908</v>
      </c>
      <c r="C252" s="1" t="s">
        <v>27</v>
      </c>
      <c r="D252" s="1" t="s">
        <v>20</v>
      </c>
      <c r="E252" s="2">
        <v>3</v>
      </c>
      <c r="F252" s="1" t="s">
        <v>29</v>
      </c>
      <c r="G252" s="1" t="str">
        <f>INDEX(Table2[Nama Produk],MATCH(Table1[[#This Row],[SKU]],Table2[SKU],0))</f>
        <v>Laptop Pro 14</v>
      </c>
      <c r="H252" s="1" t="str">
        <f>VLOOKUP(Table1[[#This Row],[SKU]],Table2[],3,FALSE)</f>
        <v>Elektronik</v>
      </c>
      <c r="I252" s="37">
        <f>INDEX(Table2[Harga Jual],MATCH(Table1[[#This Row],[SKU]],Table2[SKU],0))</f>
        <v>12000000</v>
      </c>
      <c r="J252" s="37">
        <f>VLOOKUP(Table1[[#This Row],[SKU]],Table2[],4,FALSE)</f>
        <v>8500000</v>
      </c>
      <c r="K252" s="37">
        <f>INDEX(Table3[Biaya Kirim per Unit],MATCH(Table1[[#This Row],[Kota]],Table3[Kota],))</f>
        <v>50000</v>
      </c>
      <c r="L252" s="39">
        <f>VLOOKUP(Table1[[#This Row],[Kode_Promo]],Table4[],2,FALSE)</f>
        <v>0</v>
      </c>
      <c r="M252" s="37">
        <f>Table1[[#This Row],[Jumlah_Unit]]*Table1[[#This Row],[Harga_Satuan]]</f>
        <v>36000000</v>
      </c>
      <c r="N252" s="37">
        <f>Table1[[#This Row],[Total_Pendapatan_Kotor]]*Table1[[#This Row],[Persentase_Diskon]]</f>
        <v>0</v>
      </c>
      <c r="O252" s="37">
        <f>Table1[[#This Row],[Total_Pendapatan_Kotor]]-Table1[[#This Row],[Potongan_Diskon]]</f>
        <v>36000000</v>
      </c>
      <c r="P252" s="37">
        <f>(Table1[[#This Row],[Jumlah_Unit]]*Table1[[#This Row],[HPP_Satuan]])+(Table1[[#This Row],[Jumlah_Unit]]*Table1[[#This Row],[Biaya_Kirim_Satuan]])</f>
        <v>25650000</v>
      </c>
      <c r="Q252" s="37">
        <f>Table1[[#This Row],[Total_Pendapatan_Bersih]]-Table1[[#This Row],[Total_Biaya]]</f>
        <v>10350000</v>
      </c>
      <c r="R252" s="5">
        <f>Table1[[#This Row],[Laba_Kotor]]/Table1[[#This Row],[Total_Pendapatan_Bersih]]</f>
        <v>0.28749999999999998</v>
      </c>
    </row>
    <row r="253" spans="1:18" ht="20.25" thickBot="1" x14ac:dyDescent="0.6">
      <c r="A253" s="3" t="s">
        <v>282</v>
      </c>
      <c r="B253" s="21">
        <v>45909</v>
      </c>
      <c r="C253" s="1" t="s">
        <v>31</v>
      </c>
      <c r="D253" s="1" t="s">
        <v>24</v>
      </c>
      <c r="E253" s="2">
        <v>6</v>
      </c>
      <c r="F253" s="1" t="s">
        <v>33</v>
      </c>
      <c r="G253" s="1" t="str">
        <f>INDEX(Table2[Nama Produk],MATCH(Table1[[#This Row],[SKU]],Table2[SKU],0))</f>
        <v>Mechanical Keyboard</v>
      </c>
      <c r="H253" s="1" t="str">
        <f>VLOOKUP(Table1[[#This Row],[SKU]],Table2[],3,FALSE)</f>
        <v>Aksesori</v>
      </c>
      <c r="I253" s="37">
        <f>INDEX(Table2[Harga Jual],MATCH(Table1[[#This Row],[SKU]],Table2[SKU],0))</f>
        <v>850000</v>
      </c>
      <c r="J253" s="37">
        <f>VLOOKUP(Table1[[#This Row],[SKU]],Table2[],4,FALSE)</f>
        <v>450000</v>
      </c>
      <c r="K253" s="37">
        <f>INDEX(Table3[Biaya Kirim per Unit],MATCH(Table1[[#This Row],[Kota]],Table3[Kota],))</f>
        <v>65000</v>
      </c>
      <c r="L253" s="39">
        <f>VLOOKUP(Table1[[#This Row],[Kode_Promo]],Table4[],2,FALSE)</f>
        <v>0.2</v>
      </c>
      <c r="M253" s="37">
        <f>Table1[[#This Row],[Jumlah_Unit]]*Table1[[#This Row],[Harga_Satuan]]</f>
        <v>5100000</v>
      </c>
      <c r="N253" s="37">
        <f>Table1[[#This Row],[Total_Pendapatan_Kotor]]*Table1[[#This Row],[Persentase_Diskon]]</f>
        <v>1020000</v>
      </c>
      <c r="O253" s="37">
        <f>Table1[[#This Row],[Total_Pendapatan_Kotor]]-Table1[[#This Row],[Potongan_Diskon]]</f>
        <v>4080000</v>
      </c>
      <c r="P253" s="37">
        <f>(Table1[[#This Row],[Jumlah_Unit]]*Table1[[#This Row],[HPP_Satuan]])+(Table1[[#This Row],[Jumlah_Unit]]*Table1[[#This Row],[Biaya_Kirim_Satuan]])</f>
        <v>3090000</v>
      </c>
      <c r="Q253" s="37">
        <f>Table1[[#This Row],[Total_Pendapatan_Bersih]]-Table1[[#This Row],[Total_Biaya]]</f>
        <v>990000</v>
      </c>
      <c r="R253" s="5">
        <f>Table1[[#This Row],[Laba_Kotor]]/Table1[[#This Row],[Total_Pendapatan_Bersih]]</f>
        <v>0.24264705882352941</v>
      </c>
    </row>
    <row r="254" spans="1:18" ht="20.25" thickBot="1" x14ac:dyDescent="0.6">
      <c r="A254" s="3" t="s">
        <v>283</v>
      </c>
      <c r="B254" s="21">
        <v>45910</v>
      </c>
      <c r="C254" s="1" t="s">
        <v>19</v>
      </c>
      <c r="D254" s="1" t="s">
        <v>28</v>
      </c>
      <c r="E254" s="2">
        <v>5</v>
      </c>
      <c r="F254" s="1" t="s">
        <v>21</v>
      </c>
      <c r="G254" s="1" t="str">
        <f>INDEX(Table2[Nama Produk],MATCH(Table1[[#This Row],[SKU]],Table2[SKU],0))</f>
        <v>Kursi Kerja Ergonomis</v>
      </c>
      <c r="H254" s="1" t="str">
        <f>VLOOKUP(Table1[[#This Row],[SKU]],Table2[],3,FALSE)</f>
        <v>Furnitur</v>
      </c>
      <c r="I254" s="37">
        <f>INDEX(Table2[Harga Jual],MATCH(Table1[[#This Row],[SKU]],Table2[SKU],0))</f>
        <v>2100000</v>
      </c>
      <c r="J254" s="37">
        <f>VLOOKUP(Table1[[#This Row],[SKU]],Table2[],4,FALSE)</f>
        <v>1200000</v>
      </c>
      <c r="K254" s="37">
        <f>INDEX(Table3[Biaya Kirim per Unit],MATCH(Table1[[#This Row],[Kota]],Table3[Kota],))</f>
        <v>25000</v>
      </c>
      <c r="L254" s="39">
        <f>VLOOKUP(Table1[[#This Row],[Kode_Promo]],Table4[],2,FALSE)</f>
        <v>0.1</v>
      </c>
      <c r="M254" s="37">
        <f>Table1[[#This Row],[Jumlah_Unit]]*Table1[[#This Row],[Harga_Satuan]]</f>
        <v>10500000</v>
      </c>
      <c r="N254" s="37">
        <f>Table1[[#This Row],[Total_Pendapatan_Kotor]]*Table1[[#This Row],[Persentase_Diskon]]</f>
        <v>1050000</v>
      </c>
      <c r="O254" s="37">
        <f>Table1[[#This Row],[Total_Pendapatan_Kotor]]-Table1[[#This Row],[Potongan_Diskon]]</f>
        <v>9450000</v>
      </c>
      <c r="P254" s="37">
        <f>(Table1[[#This Row],[Jumlah_Unit]]*Table1[[#This Row],[HPP_Satuan]])+(Table1[[#This Row],[Jumlah_Unit]]*Table1[[#This Row],[Biaya_Kirim_Satuan]])</f>
        <v>6125000</v>
      </c>
      <c r="Q254" s="37">
        <f>Table1[[#This Row],[Total_Pendapatan_Bersih]]-Table1[[#This Row],[Total_Biaya]]</f>
        <v>3325000</v>
      </c>
      <c r="R254" s="5">
        <f>Table1[[#This Row],[Laba_Kotor]]/Table1[[#This Row],[Total_Pendapatan_Bersih]]</f>
        <v>0.35185185185185186</v>
      </c>
    </row>
    <row r="255" spans="1:18" ht="20.25" thickBot="1" x14ac:dyDescent="0.6">
      <c r="A255" s="3" t="s">
        <v>284</v>
      </c>
      <c r="B255" s="21">
        <v>45911</v>
      </c>
      <c r="C255" s="1" t="s">
        <v>23</v>
      </c>
      <c r="D255" s="1" t="s">
        <v>32</v>
      </c>
      <c r="E255" s="2">
        <v>4</v>
      </c>
      <c r="F255" s="1" t="s">
        <v>25</v>
      </c>
      <c r="G255" s="1" t="str">
        <f>INDEX(Table2[Nama Produk],MATCH(Table1[[#This Row],[SKU]],Table2[SKU],0))</f>
        <v>Monitor Ergonomis 27</v>
      </c>
      <c r="H255" s="1" t="str">
        <f>VLOOKUP(Table1[[#This Row],[SKU]],Table2[],3,FALSE)</f>
        <v>Elektronik</v>
      </c>
      <c r="I255" s="37">
        <f>INDEX(Table2[Harga Jual],MATCH(Table1[[#This Row],[SKU]],Table2[SKU],0))</f>
        <v>3400000</v>
      </c>
      <c r="J255" s="37">
        <f>VLOOKUP(Table1[[#This Row],[SKU]],Table2[],4,FALSE)</f>
        <v>2100000</v>
      </c>
      <c r="K255" s="37">
        <f>INDEX(Table3[Biaya Kirim per Unit],MATCH(Table1[[#This Row],[Kota]],Table3[Kota],))</f>
        <v>35000</v>
      </c>
      <c r="L255" s="39">
        <f>VLOOKUP(Table1[[#This Row],[Kode_Promo]],Table4[],2,FALSE)</f>
        <v>0.3</v>
      </c>
      <c r="M255" s="37">
        <f>Table1[[#This Row],[Jumlah_Unit]]*Table1[[#This Row],[Harga_Satuan]]</f>
        <v>13600000</v>
      </c>
      <c r="N255" s="37">
        <f>Table1[[#This Row],[Total_Pendapatan_Kotor]]*Table1[[#This Row],[Persentase_Diskon]]</f>
        <v>4080000</v>
      </c>
      <c r="O255" s="37">
        <f>Table1[[#This Row],[Total_Pendapatan_Kotor]]-Table1[[#This Row],[Potongan_Diskon]]</f>
        <v>9520000</v>
      </c>
      <c r="P255" s="37">
        <f>(Table1[[#This Row],[Jumlah_Unit]]*Table1[[#This Row],[HPP_Satuan]])+(Table1[[#This Row],[Jumlah_Unit]]*Table1[[#This Row],[Biaya_Kirim_Satuan]])</f>
        <v>8540000</v>
      </c>
      <c r="Q255" s="37">
        <f>Table1[[#This Row],[Total_Pendapatan_Bersih]]-Table1[[#This Row],[Total_Biaya]]</f>
        <v>980000</v>
      </c>
      <c r="R255" s="5">
        <f>Table1[[#This Row],[Laba_Kotor]]/Table1[[#This Row],[Total_Pendapatan_Bersih]]</f>
        <v>0.10294117647058823</v>
      </c>
    </row>
    <row r="256" spans="1:18" ht="20.25" thickBot="1" x14ac:dyDescent="0.6">
      <c r="A256" s="3" t="s">
        <v>285</v>
      </c>
      <c r="B256" s="21">
        <v>45912</v>
      </c>
      <c r="C256" s="1" t="s">
        <v>27</v>
      </c>
      <c r="D256" s="1" t="s">
        <v>35</v>
      </c>
      <c r="E256" s="2">
        <v>1</v>
      </c>
      <c r="F256" s="1" t="s">
        <v>29</v>
      </c>
      <c r="G256" s="1" t="str">
        <f>INDEX(Table2[Nama Produk],MATCH(Table1[[#This Row],[SKU]],Table2[SKU],0))</f>
        <v>Meja Adjustable</v>
      </c>
      <c r="H256" s="1" t="str">
        <f>VLOOKUP(Table1[[#This Row],[SKU]],Table2[],3,FALSE)</f>
        <v>Furnitur</v>
      </c>
      <c r="I256" s="37">
        <f>INDEX(Table2[Harga Jual],MATCH(Table1[[#This Row],[SKU]],Table2[SKU],0))</f>
        <v>4200000</v>
      </c>
      <c r="J256" s="37">
        <f>VLOOKUP(Table1[[#This Row],[SKU]],Table2[],4,FALSE)</f>
        <v>2400000</v>
      </c>
      <c r="K256" s="37">
        <f>INDEX(Table3[Biaya Kirim per Unit],MATCH(Table1[[#This Row],[Kota]],Table3[Kota],))</f>
        <v>50000</v>
      </c>
      <c r="L256" s="39">
        <f>VLOOKUP(Table1[[#This Row],[Kode_Promo]],Table4[],2,FALSE)</f>
        <v>0</v>
      </c>
      <c r="M256" s="37">
        <f>Table1[[#This Row],[Jumlah_Unit]]*Table1[[#This Row],[Harga_Satuan]]</f>
        <v>4200000</v>
      </c>
      <c r="N256" s="37">
        <f>Table1[[#This Row],[Total_Pendapatan_Kotor]]*Table1[[#This Row],[Persentase_Diskon]]</f>
        <v>0</v>
      </c>
      <c r="O256" s="37">
        <f>Table1[[#This Row],[Total_Pendapatan_Kotor]]-Table1[[#This Row],[Potongan_Diskon]]</f>
        <v>4200000</v>
      </c>
      <c r="P256" s="37">
        <f>(Table1[[#This Row],[Jumlah_Unit]]*Table1[[#This Row],[HPP_Satuan]])+(Table1[[#This Row],[Jumlah_Unit]]*Table1[[#This Row],[Biaya_Kirim_Satuan]])</f>
        <v>2450000</v>
      </c>
      <c r="Q256" s="37">
        <f>Table1[[#This Row],[Total_Pendapatan_Bersih]]-Table1[[#This Row],[Total_Biaya]]</f>
        <v>1750000</v>
      </c>
      <c r="R256" s="5">
        <f>Table1[[#This Row],[Laba_Kotor]]/Table1[[#This Row],[Total_Pendapatan_Bersih]]</f>
        <v>0.41666666666666669</v>
      </c>
    </row>
    <row r="257" spans="1:18" ht="20.25" thickBot="1" x14ac:dyDescent="0.6">
      <c r="A257" s="3" t="s">
        <v>286</v>
      </c>
      <c r="B257" s="21">
        <v>45913</v>
      </c>
      <c r="C257" s="1" t="s">
        <v>31</v>
      </c>
      <c r="D257" s="1" t="s">
        <v>20</v>
      </c>
      <c r="E257" s="2">
        <v>2</v>
      </c>
      <c r="F257" s="1" t="s">
        <v>33</v>
      </c>
      <c r="G257" s="1" t="str">
        <f>INDEX(Table2[Nama Produk],MATCH(Table1[[#This Row],[SKU]],Table2[SKU],0))</f>
        <v>Laptop Pro 14</v>
      </c>
      <c r="H257" s="1" t="str">
        <f>VLOOKUP(Table1[[#This Row],[SKU]],Table2[],3,FALSE)</f>
        <v>Elektronik</v>
      </c>
      <c r="I257" s="37">
        <f>INDEX(Table2[Harga Jual],MATCH(Table1[[#This Row],[SKU]],Table2[SKU],0))</f>
        <v>12000000</v>
      </c>
      <c r="J257" s="37">
        <f>VLOOKUP(Table1[[#This Row],[SKU]],Table2[],4,FALSE)</f>
        <v>8500000</v>
      </c>
      <c r="K257" s="37">
        <f>INDEX(Table3[Biaya Kirim per Unit],MATCH(Table1[[#This Row],[Kota]],Table3[Kota],))</f>
        <v>65000</v>
      </c>
      <c r="L257" s="39">
        <f>VLOOKUP(Table1[[#This Row],[Kode_Promo]],Table4[],2,FALSE)</f>
        <v>0.2</v>
      </c>
      <c r="M257" s="37">
        <f>Table1[[#This Row],[Jumlah_Unit]]*Table1[[#This Row],[Harga_Satuan]]</f>
        <v>24000000</v>
      </c>
      <c r="N257" s="37">
        <f>Table1[[#This Row],[Total_Pendapatan_Kotor]]*Table1[[#This Row],[Persentase_Diskon]]</f>
        <v>4800000</v>
      </c>
      <c r="O257" s="37">
        <f>Table1[[#This Row],[Total_Pendapatan_Kotor]]-Table1[[#This Row],[Potongan_Diskon]]</f>
        <v>19200000</v>
      </c>
      <c r="P257" s="37">
        <f>(Table1[[#This Row],[Jumlah_Unit]]*Table1[[#This Row],[HPP_Satuan]])+(Table1[[#This Row],[Jumlah_Unit]]*Table1[[#This Row],[Biaya_Kirim_Satuan]])</f>
        <v>17130000</v>
      </c>
      <c r="Q257" s="37">
        <f>Table1[[#This Row],[Total_Pendapatan_Bersih]]-Table1[[#This Row],[Total_Biaya]]</f>
        <v>2070000</v>
      </c>
      <c r="R257" s="5">
        <f>Table1[[#This Row],[Laba_Kotor]]/Table1[[#This Row],[Total_Pendapatan_Bersih]]</f>
        <v>0.10781250000000001</v>
      </c>
    </row>
    <row r="258" spans="1:18" ht="20.25" thickBot="1" x14ac:dyDescent="0.6">
      <c r="A258" s="3" t="s">
        <v>287</v>
      </c>
      <c r="B258" s="21">
        <v>45914</v>
      </c>
      <c r="C258" s="1" t="s">
        <v>19</v>
      </c>
      <c r="D258" s="1" t="s">
        <v>24</v>
      </c>
      <c r="E258" s="2">
        <v>4</v>
      </c>
      <c r="F258" s="1" t="s">
        <v>21</v>
      </c>
      <c r="G258" s="1" t="str">
        <f>INDEX(Table2[Nama Produk],MATCH(Table1[[#This Row],[SKU]],Table2[SKU],0))</f>
        <v>Mechanical Keyboard</v>
      </c>
      <c r="H258" s="1" t="str">
        <f>VLOOKUP(Table1[[#This Row],[SKU]],Table2[],3,FALSE)</f>
        <v>Aksesori</v>
      </c>
      <c r="I258" s="37">
        <f>INDEX(Table2[Harga Jual],MATCH(Table1[[#This Row],[SKU]],Table2[SKU],0))</f>
        <v>850000</v>
      </c>
      <c r="J258" s="37">
        <f>VLOOKUP(Table1[[#This Row],[SKU]],Table2[],4,FALSE)</f>
        <v>450000</v>
      </c>
      <c r="K258" s="37">
        <f>INDEX(Table3[Biaya Kirim per Unit],MATCH(Table1[[#This Row],[Kota]],Table3[Kota],))</f>
        <v>25000</v>
      </c>
      <c r="L258" s="39">
        <f>VLOOKUP(Table1[[#This Row],[Kode_Promo]],Table4[],2,FALSE)</f>
        <v>0.1</v>
      </c>
      <c r="M258" s="37">
        <f>Table1[[#This Row],[Jumlah_Unit]]*Table1[[#This Row],[Harga_Satuan]]</f>
        <v>3400000</v>
      </c>
      <c r="N258" s="37">
        <f>Table1[[#This Row],[Total_Pendapatan_Kotor]]*Table1[[#This Row],[Persentase_Diskon]]</f>
        <v>340000</v>
      </c>
      <c r="O258" s="37">
        <f>Table1[[#This Row],[Total_Pendapatan_Kotor]]-Table1[[#This Row],[Potongan_Diskon]]</f>
        <v>3060000</v>
      </c>
      <c r="P258" s="37">
        <f>(Table1[[#This Row],[Jumlah_Unit]]*Table1[[#This Row],[HPP_Satuan]])+(Table1[[#This Row],[Jumlah_Unit]]*Table1[[#This Row],[Biaya_Kirim_Satuan]])</f>
        <v>1900000</v>
      </c>
      <c r="Q258" s="37">
        <f>Table1[[#This Row],[Total_Pendapatan_Bersih]]-Table1[[#This Row],[Total_Biaya]]</f>
        <v>1160000</v>
      </c>
      <c r="R258" s="5">
        <f>Table1[[#This Row],[Laba_Kotor]]/Table1[[#This Row],[Total_Pendapatan_Bersih]]</f>
        <v>0.37908496732026142</v>
      </c>
    </row>
    <row r="259" spans="1:18" ht="20.25" thickBot="1" x14ac:dyDescent="0.6">
      <c r="A259" s="3" t="s">
        <v>288</v>
      </c>
      <c r="B259" s="21">
        <v>45915</v>
      </c>
      <c r="C259" s="1" t="s">
        <v>23</v>
      </c>
      <c r="D259" s="1" t="s">
        <v>35</v>
      </c>
      <c r="E259" s="2">
        <v>3</v>
      </c>
      <c r="F259" s="1" t="s">
        <v>25</v>
      </c>
      <c r="G259" s="1" t="str">
        <f>INDEX(Table2[Nama Produk],MATCH(Table1[[#This Row],[SKU]],Table2[SKU],0))</f>
        <v>Meja Adjustable</v>
      </c>
      <c r="H259" s="1" t="str">
        <f>VLOOKUP(Table1[[#This Row],[SKU]],Table2[],3,FALSE)</f>
        <v>Furnitur</v>
      </c>
      <c r="I259" s="37">
        <f>INDEX(Table2[Harga Jual],MATCH(Table1[[#This Row],[SKU]],Table2[SKU],0))</f>
        <v>4200000</v>
      </c>
      <c r="J259" s="37">
        <f>VLOOKUP(Table1[[#This Row],[SKU]],Table2[],4,FALSE)</f>
        <v>2400000</v>
      </c>
      <c r="K259" s="37">
        <f>INDEX(Table3[Biaya Kirim per Unit],MATCH(Table1[[#This Row],[Kota]],Table3[Kota],))</f>
        <v>35000</v>
      </c>
      <c r="L259" s="39">
        <f>VLOOKUP(Table1[[#This Row],[Kode_Promo]],Table4[],2,FALSE)</f>
        <v>0.3</v>
      </c>
      <c r="M259" s="37">
        <f>Table1[[#This Row],[Jumlah_Unit]]*Table1[[#This Row],[Harga_Satuan]]</f>
        <v>12600000</v>
      </c>
      <c r="N259" s="37">
        <f>Table1[[#This Row],[Total_Pendapatan_Kotor]]*Table1[[#This Row],[Persentase_Diskon]]</f>
        <v>3780000</v>
      </c>
      <c r="O259" s="37">
        <f>Table1[[#This Row],[Total_Pendapatan_Kotor]]-Table1[[#This Row],[Potongan_Diskon]]</f>
        <v>8820000</v>
      </c>
      <c r="P259" s="37">
        <f>(Table1[[#This Row],[Jumlah_Unit]]*Table1[[#This Row],[HPP_Satuan]])+(Table1[[#This Row],[Jumlah_Unit]]*Table1[[#This Row],[Biaya_Kirim_Satuan]])</f>
        <v>7305000</v>
      </c>
      <c r="Q259" s="37">
        <f>Table1[[#This Row],[Total_Pendapatan_Bersih]]-Table1[[#This Row],[Total_Biaya]]</f>
        <v>1515000</v>
      </c>
      <c r="R259" s="5">
        <f>Table1[[#This Row],[Laba_Kotor]]/Table1[[#This Row],[Total_Pendapatan_Bersih]]</f>
        <v>0.17176870748299319</v>
      </c>
    </row>
    <row r="260" spans="1:18" ht="20.25" thickBot="1" x14ac:dyDescent="0.6">
      <c r="A260" s="3" t="s">
        <v>289</v>
      </c>
      <c r="B260" s="21">
        <v>45916</v>
      </c>
      <c r="C260" s="1" t="s">
        <v>27</v>
      </c>
      <c r="D260" s="1" t="s">
        <v>32</v>
      </c>
      <c r="E260" s="2">
        <v>2</v>
      </c>
      <c r="F260" s="1" t="s">
        <v>29</v>
      </c>
      <c r="G260" s="1" t="str">
        <f>INDEX(Table2[Nama Produk],MATCH(Table1[[#This Row],[SKU]],Table2[SKU],0))</f>
        <v>Monitor Ergonomis 27</v>
      </c>
      <c r="H260" s="1" t="str">
        <f>VLOOKUP(Table1[[#This Row],[SKU]],Table2[],3,FALSE)</f>
        <v>Elektronik</v>
      </c>
      <c r="I260" s="37">
        <f>INDEX(Table2[Harga Jual],MATCH(Table1[[#This Row],[SKU]],Table2[SKU],0))</f>
        <v>3400000</v>
      </c>
      <c r="J260" s="37">
        <f>VLOOKUP(Table1[[#This Row],[SKU]],Table2[],4,FALSE)</f>
        <v>2100000</v>
      </c>
      <c r="K260" s="37">
        <f>INDEX(Table3[Biaya Kirim per Unit],MATCH(Table1[[#This Row],[Kota]],Table3[Kota],))</f>
        <v>50000</v>
      </c>
      <c r="L260" s="39">
        <f>VLOOKUP(Table1[[#This Row],[Kode_Promo]],Table4[],2,FALSE)</f>
        <v>0</v>
      </c>
      <c r="M260" s="37">
        <f>Table1[[#This Row],[Jumlah_Unit]]*Table1[[#This Row],[Harga_Satuan]]</f>
        <v>6800000</v>
      </c>
      <c r="N260" s="37">
        <f>Table1[[#This Row],[Total_Pendapatan_Kotor]]*Table1[[#This Row],[Persentase_Diskon]]</f>
        <v>0</v>
      </c>
      <c r="O260" s="37">
        <f>Table1[[#This Row],[Total_Pendapatan_Kotor]]-Table1[[#This Row],[Potongan_Diskon]]</f>
        <v>6800000</v>
      </c>
      <c r="P260" s="37">
        <f>(Table1[[#This Row],[Jumlah_Unit]]*Table1[[#This Row],[HPP_Satuan]])+(Table1[[#This Row],[Jumlah_Unit]]*Table1[[#This Row],[Biaya_Kirim_Satuan]])</f>
        <v>4300000</v>
      </c>
      <c r="Q260" s="37">
        <f>Table1[[#This Row],[Total_Pendapatan_Bersih]]-Table1[[#This Row],[Total_Biaya]]</f>
        <v>2500000</v>
      </c>
      <c r="R260" s="5">
        <f>Table1[[#This Row],[Laba_Kotor]]/Table1[[#This Row],[Total_Pendapatan_Bersih]]</f>
        <v>0.36764705882352944</v>
      </c>
    </row>
    <row r="261" spans="1:18" ht="20.25" thickBot="1" x14ac:dyDescent="0.6">
      <c r="A261" s="3" t="s">
        <v>290</v>
      </c>
      <c r="B261" s="21">
        <v>45917</v>
      </c>
      <c r="C261" s="1" t="s">
        <v>31</v>
      </c>
      <c r="D261" s="1" t="s">
        <v>28</v>
      </c>
      <c r="E261" s="2">
        <v>3</v>
      </c>
      <c r="F261" s="1" t="s">
        <v>33</v>
      </c>
      <c r="G261" s="1" t="str">
        <f>INDEX(Table2[Nama Produk],MATCH(Table1[[#This Row],[SKU]],Table2[SKU],0))</f>
        <v>Kursi Kerja Ergonomis</v>
      </c>
      <c r="H261" s="1" t="str">
        <f>VLOOKUP(Table1[[#This Row],[SKU]],Table2[],3,FALSE)</f>
        <v>Furnitur</v>
      </c>
      <c r="I261" s="37">
        <f>INDEX(Table2[Harga Jual],MATCH(Table1[[#This Row],[SKU]],Table2[SKU],0))</f>
        <v>2100000</v>
      </c>
      <c r="J261" s="37">
        <f>VLOOKUP(Table1[[#This Row],[SKU]],Table2[],4,FALSE)</f>
        <v>1200000</v>
      </c>
      <c r="K261" s="37">
        <f>INDEX(Table3[Biaya Kirim per Unit],MATCH(Table1[[#This Row],[Kota]],Table3[Kota],))</f>
        <v>65000</v>
      </c>
      <c r="L261" s="39">
        <f>VLOOKUP(Table1[[#This Row],[Kode_Promo]],Table4[],2,FALSE)</f>
        <v>0.2</v>
      </c>
      <c r="M261" s="37">
        <f>Table1[[#This Row],[Jumlah_Unit]]*Table1[[#This Row],[Harga_Satuan]]</f>
        <v>6300000</v>
      </c>
      <c r="N261" s="37">
        <f>Table1[[#This Row],[Total_Pendapatan_Kotor]]*Table1[[#This Row],[Persentase_Diskon]]</f>
        <v>1260000</v>
      </c>
      <c r="O261" s="37">
        <f>Table1[[#This Row],[Total_Pendapatan_Kotor]]-Table1[[#This Row],[Potongan_Diskon]]</f>
        <v>5040000</v>
      </c>
      <c r="P261" s="37">
        <f>(Table1[[#This Row],[Jumlah_Unit]]*Table1[[#This Row],[HPP_Satuan]])+(Table1[[#This Row],[Jumlah_Unit]]*Table1[[#This Row],[Biaya_Kirim_Satuan]])</f>
        <v>3795000</v>
      </c>
      <c r="Q261" s="37">
        <f>Table1[[#This Row],[Total_Pendapatan_Bersih]]-Table1[[#This Row],[Total_Biaya]]</f>
        <v>1245000</v>
      </c>
      <c r="R261" s="5">
        <f>Table1[[#This Row],[Laba_Kotor]]/Table1[[#This Row],[Total_Pendapatan_Bersih]]</f>
        <v>0.24702380952380953</v>
      </c>
    </row>
    <row r="262" spans="1:18" ht="20.25" thickBot="1" x14ac:dyDescent="0.6">
      <c r="A262" s="3" t="s">
        <v>291</v>
      </c>
      <c r="B262" s="21">
        <v>45918</v>
      </c>
      <c r="C262" s="1" t="s">
        <v>19</v>
      </c>
      <c r="D262" s="1" t="s">
        <v>20</v>
      </c>
      <c r="E262" s="2">
        <v>1</v>
      </c>
      <c r="F262" s="1" t="s">
        <v>21</v>
      </c>
      <c r="G262" s="1" t="str">
        <f>INDEX(Table2[Nama Produk],MATCH(Table1[[#This Row],[SKU]],Table2[SKU],0))</f>
        <v>Laptop Pro 14</v>
      </c>
      <c r="H262" s="1" t="str">
        <f>VLOOKUP(Table1[[#This Row],[SKU]],Table2[],3,FALSE)</f>
        <v>Elektronik</v>
      </c>
      <c r="I262" s="37">
        <f>INDEX(Table2[Harga Jual],MATCH(Table1[[#This Row],[SKU]],Table2[SKU],0))</f>
        <v>12000000</v>
      </c>
      <c r="J262" s="37">
        <f>VLOOKUP(Table1[[#This Row],[SKU]],Table2[],4,FALSE)</f>
        <v>8500000</v>
      </c>
      <c r="K262" s="37">
        <f>INDEX(Table3[Biaya Kirim per Unit],MATCH(Table1[[#This Row],[Kota]],Table3[Kota],))</f>
        <v>25000</v>
      </c>
      <c r="L262" s="39">
        <f>VLOOKUP(Table1[[#This Row],[Kode_Promo]],Table4[],2,FALSE)</f>
        <v>0.1</v>
      </c>
      <c r="M262" s="37">
        <f>Table1[[#This Row],[Jumlah_Unit]]*Table1[[#This Row],[Harga_Satuan]]</f>
        <v>12000000</v>
      </c>
      <c r="N262" s="37">
        <f>Table1[[#This Row],[Total_Pendapatan_Kotor]]*Table1[[#This Row],[Persentase_Diskon]]</f>
        <v>1200000</v>
      </c>
      <c r="O262" s="37">
        <f>Table1[[#This Row],[Total_Pendapatan_Kotor]]-Table1[[#This Row],[Potongan_Diskon]]</f>
        <v>10800000</v>
      </c>
      <c r="P262" s="37">
        <f>(Table1[[#This Row],[Jumlah_Unit]]*Table1[[#This Row],[HPP_Satuan]])+(Table1[[#This Row],[Jumlah_Unit]]*Table1[[#This Row],[Biaya_Kirim_Satuan]])</f>
        <v>8525000</v>
      </c>
      <c r="Q262" s="37">
        <f>Table1[[#This Row],[Total_Pendapatan_Bersih]]-Table1[[#This Row],[Total_Biaya]]</f>
        <v>2275000</v>
      </c>
      <c r="R262" s="5">
        <f>Table1[[#This Row],[Laba_Kotor]]/Table1[[#This Row],[Total_Pendapatan_Bersih]]</f>
        <v>0.21064814814814814</v>
      </c>
    </row>
    <row r="263" spans="1:18" ht="20.25" thickBot="1" x14ac:dyDescent="0.6">
      <c r="A263" s="3" t="s">
        <v>292</v>
      </c>
      <c r="B263" s="21">
        <v>45919</v>
      </c>
      <c r="C263" s="1" t="s">
        <v>23</v>
      </c>
      <c r="D263" s="1" t="s">
        <v>24</v>
      </c>
      <c r="E263" s="2">
        <v>8</v>
      </c>
      <c r="F263" s="1" t="s">
        <v>25</v>
      </c>
      <c r="G263" s="1" t="str">
        <f>INDEX(Table2[Nama Produk],MATCH(Table1[[#This Row],[SKU]],Table2[SKU],0))</f>
        <v>Mechanical Keyboard</v>
      </c>
      <c r="H263" s="1" t="str">
        <f>VLOOKUP(Table1[[#This Row],[SKU]],Table2[],3,FALSE)</f>
        <v>Aksesori</v>
      </c>
      <c r="I263" s="37">
        <f>INDEX(Table2[Harga Jual],MATCH(Table1[[#This Row],[SKU]],Table2[SKU],0))</f>
        <v>850000</v>
      </c>
      <c r="J263" s="37">
        <f>VLOOKUP(Table1[[#This Row],[SKU]],Table2[],4,FALSE)</f>
        <v>450000</v>
      </c>
      <c r="K263" s="37">
        <f>INDEX(Table3[Biaya Kirim per Unit],MATCH(Table1[[#This Row],[Kota]],Table3[Kota],))</f>
        <v>35000</v>
      </c>
      <c r="L263" s="39">
        <f>VLOOKUP(Table1[[#This Row],[Kode_Promo]],Table4[],2,FALSE)</f>
        <v>0.3</v>
      </c>
      <c r="M263" s="37">
        <f>Table1[[#This Row],[Jumlah_Unit]]*Table1[[#This Row],[Harga_Satuan]]</f>
        <v>6800000</v>
      </c>
      <c r="N263" s="37">
        <f>Table1[[#This Row],[Total_Pendapatan_Kotor]]*Table1[[#This Row],[Persentase_Diskon]]</f>
        <v>2040000</v>
      </c>
      <c r="O263" s="37">
        <f>Table1[[#This Row],[Total_Pendapatan_Kotor]]-Table1[[#This Row],[Potongan_Diskon]]</f>
        <v>4760000</v>
      </c>
      <c r="P263" s="37">
        <f>(Table1[[#This Row],[Jumlah_Unit]]*Table1[[#This Row],[HPP_Satuan]])+(Table1[[#This Row],[Jumlah_Unit]]*Table1[[#This Row],[Biaya_Kirim_Satuan]])</f>
        <v>3880000</v>
      </c>
      <c r="Q263" s="37">
        <f>Table1[[#This Row],[Total_Pendapatan_Bersih]]-Table1[[#This Row],[Total_Biaya]]</f>
        <v>880000</v>
      </c>
      <c r="R263" s="5">
        <f>Table1[[#This Row],[Laba_Kotor]]/Table1[[#This Row],[Total_Pendapatan_Bersih]]</f>
        <v>0.18487394957983194</v>
      </c>
    </row>
    <row r="264" spans="1:18" ht="20.25" thickBot="1" x14ac:dyDescent="0.6">
      <c r="A264" s="3" t="s">
        <v>293</v>
      </c>
      <c r="B264" s="21">
        <v>45920</v>
      </c>
      <c r="C264" s="1" t="s">
        <v>27</v>
      </c>
      <c r="D264" s="1" t="s">
        <v>28</v>
      </c>
      <c r="E264" s="2">
        <v>2</v>
      </c>
      <c r="F264" s="1" t="s">
        <v>29</v>
      </c>
      <c r="G264" s="1" t="str">
        <f>INDEX(Table2[Nama Produk],MATCH(Table1[[#This Row],[SKU]],Table2[SKU],0))</f>
        <v>Kursi Kerja Ergonomis</v>
      </c>
      <c r="H264" s="1" t="str">
        <f>VLOOKUP(Table1[[#This Row],[SKU]],Table2[],3,FALSE)</f>
        <v>Furnitur</v>
      </c>
      <c r="I264" s="37">
        <f>INDEX(Table2[Harga Jual],MATCH(Table1[[#This Row],[SKU]],Table2[SKU],0))</f>
        <v>2100000</v>
      </c>
      <c r="J264" s="37">
        <f>VLOOKUP(Table1[[#This Row],[SKU]],Table2[],4,FALSE)</f>
        <v>1200000</v>
      </c>
      <c r="K264" s="37">
        <f>INDEX(Table3[Biaya Kirim per Unit],MATCH(Table1[[#This Row],[Kota]],Table3[Kota],))</f>
        <v>50000</v>
      </c>
      <c r="L264" s="39">
        <f>VLOOKUP(Table1[[#This Row],[Kode_Promo]],Table4[],2,FALSE)</f>
        <v>0</v>
      </c>
      <c r="M264" s="37">
        <f>Table1[[#This Row],[Jumlah_Unit]]*Table1[[#This Row],[Harga_Satuan]]</f>
        <v>4200000</v>
      </c>
      <c r="N264" s="37">
        <f>Table1[[#This Row],[Total_Pendapatan_Kotor]]*Table1[[#This Row],[Persentase_Diskon]]</f>
        <v>0</v>
      </c>
      <c r="O264" s="37">
        <f>Table1[[#This Row],[Total_Pendapatan_Kotor]]-Table1[[#This Row],[Potongan_Diskon]]</f>
        <v>4200000</v>
      </c>
      <c r="P264" s="37">
        <f>(Table1[[#This Row],[Jumlah_Unit]]*Table1[[#This Row],[HPP_Satuan]])+(Table1[[#This Row],[Jumlah_Unit]]*Table1[[#This Row],[Biaya_Kirim_Satuan]])</f>
        <v>2500000</v>
      </c>
      <c r="Q264" s="37">
        <f>Table1[[#This Row],[Total_Pendapatan_Bersih]]-Table1[[#This Row],[Total_Biaya]]</f>
        <v>1700000</v>
      </c>
      <c r="R264" s="5">
        <f>Table1[[#This Row],[Laba_Kotor]]/Table1[[#This Row],[Total_Pendapatan_Bersih]]</f>
        <v>0.40476190476190477</v>
      </c>
    </row>
    <row r="265" spans="1:18" ht="20.25" thickBot="1" x14ac:dyDescent="0.6">
      <c r="A265" s="3" t="s">
        <v>294</v>
      </c>
      <c r="B265" s="21">
        <v>45921</v>
      </c>
      <c r="C265" s="1" t="s">
        <v>31</v>
      </c>
      <c r="D265" s="1" t="s">
        <v>32</v>
      </c>
      <c r="E265" s="2">
        <v>5</v>
      </c>
      <c r="F265" s="1" t="s">
        <v>33</v>
      </c>
      <c r="G265" s="1" t="str">
        <f>INDEX(Table2[Nama Produk],MATCH(Table1[[#This Row],[SKU]],Table2[SKU],0))</f>
        <v>Monitor Ergonomis 27</v>
      </c>
      <c r="H265" s="1" t="str">
        <f>VLOOKUP(Table1[[#This Row],[SKU]],Table2[],3,FALSE)</f>
        <v>Elektronik</v>
      </c>
      <c r="I265" s="37">
        <f>INDEX(Table2[Harga Jual],MATCH(Table1[[#This Row],[SKU]],Table2[SKU],0))</f>
        <v>3400000</v>
      </c>
      <c r="J265" s="37">
        <f>VLOOKUP(Table1[[#This Row],[SKU]],Table2[],4,FALSE)</f>
        <v>2100000</v>
      </c>
      <c r="K265" s="37">
        <f>INDEX(Table3[Biaya Kirim per Unit],MATCH(Table1[[#This Row],[Kota]],Table3[Kota],))</f>
        <v>65000</v>
      </c>
      <c r="L265" s="39">
        <f>VLOOKUP(Table1[[#This Row],[Kode_Promo]],Table4[],2,FALSE)</f>
        <v>0.2</v>
      </c>
      <c r="M265" s="37">
        <f>Table1[[#This Row],[Jumlah_Unit]]*Table1[[#This Row],[Harga_Satuan]]</f>
        <v>17000000</v>
      </c>
      <c r="N265" s="37">
        <f>Table1[[#This Row],[Total_Pendapatan_Kotor]]*Table1[[#This Row],[Persentase_Diskon]]</f>
        <v>3400000</v>
      </c>
      <c r="O265" s="37">
        <f>Table1[[#This Row],[Total_Pendapatan_Kotor]]-Table1[[#This Row],[Potongan_Diskon]]</f>
        <v>13600000</v>
      </c>
      <c r="P265" s="37">
        <f>(Table1[[#This Row],[Jumlah_Unit]]*Table1[[#This Row],[HPP_Satuan]])+(Table1[[#This Row],[Jumlah_Unit]]*Table1[[#This Row],[Biaya_Kirim_Satuan]])</f>
        <v>10825000</v>
      </c>
      <c r="Q265" s="37">
        <f>Table1[[#This Row],[Total_Pendapatan_Bersih]]-Table1[[#This Row],[Total_Biaya]]</f>
        <v>2775000</v>
      </c>
      <c r="R265" s="5">
        <f>Table1[[#This Row],[Laba_Kotor]]/Table1[[#This Row],[Total_Pendapatan_Bersih]]</f>
        <v>0.20404411764705882</v>
      </c>
    </row>
    <row r="266" spans="1:18" ht="20.25" thickBot="1" x14ac:dyDescent="0.6">
      <c r="A266" s="3" t="s">
        <v>295</v>
      </c>
      <c r="B266" s="21">
        <v>45922</v>
      </c>
      <c r="C266" s="1" t="s">
        <v>19</v>
      </c>
      <c r="D266" s="1" t="s">
        <v>35</v>
      </c>
      <c r="E266" s="2">
        <v>3</v>
      </c>
      <c r="F266" s="1" t="s">
        <v>21</v>
      </c>
      <c r="G266" s="1" t="str">
        <f>INDEX(Table2[Nama Produk],MATCH(Table1[[#This Row],[SKU]],Table2[SKU],0))</f>
        <v>Meja Adjustable</v>
      </c>
      <c r="H266" s="1" t="str">
        <f>VLOOKUP(Table1[[#This Row],[SKU]],Table2[],3,FALSE)</f>
        <v>Furnitur</v>
      </c>
      <c r="I266" s="37">
        <f>INDEX(Table2[Harga Jual],MATCH(Table1[[#This Row],[SKU]],Table2[SKU],0))</f>
        <v>4200000</v>
      </c>
      <c r="J266" s="37">
        <f>VLOOKUP(Table1[[#This Row],[SKU]],Table2[],4,FALSE)</f>
        <v>2400000</v>
      </c>
      <c r="K266" s="37">
        <f>INDEX(Table3[Biaya Kirim per Unit],MATCH(Table1[[#This Row],[Kota]],Table3[Kota],))</f>
        <v>25000</v>
      </c>
      <c r="L266" s="39">
        <f>VLOOKUP(Table1[[#This Row],[Kode_Promo]],Table4[],2,FALSE)</f>
        <v>0.1</v>
      </c>
      <c r="M266" s="37">
        <f>Table1[[#This Row],[Jumlah_Unit]]*Table1[[#This Row],[Harga_Satuan]]</f>
        <v>12600000</v>
      </c>
      <c r="N266" s="37">
        <f>Table1[[#This Row],[Total_Pendapatan_Kotor]]*Table1[[#This Row],[Persentase_Diskon]]</f>
        <v>1260000</v>
      </c>
      <c r="O266" s="37">
        <f>Table1[[#This Row],[Total_Pendapatan_Kotor]]-Table1[[#This Row],[Potongan_Diskon]]</f>
        <v>11340000</v>
      </c>
      <c r="P266" s="37">
        <f>(Table1[[#This Row],[Jumlah_Unit]]*Table1[[#This Row],[HPP_Satuan]])+(Table1[[#This Row],[Jumlah_Unit]]*Table1[[#This Row],[Biaya_Kirim_Satuan]])</f>
        <v>7275000</v>
      </c>
      <c r="Q266" s="37">
        <f>Table1[[#This Row],[Total_Pendapatan_Bersih]]-Table1[[#This Row],[Total_Biaya]]</f>
        <v>4065000</v>
      </c>
      <c r="R266" s="5">
        <f>Table1[[#This Row],[Laba_Kotor]]/Table1[[#This Row],[Total_Pendapatan_Bersih]]</f>
        <v>0.35846560846560849</v>
      </c>
    </row>
    <row r="267" spans="1:18" ht="20.25" thickBot="1" x14ac:dyDescent="0.6">
      <c r="A267" s="3" t="s">
        <v>296</v>
      </c>
      <c r="B267" s="21">
        <v>45923</v>
      </c>
      <c r="C267" s="1" t="s">
        <v>23</v>
      </c>
      <c r="D267" s="1" t="s">
        <v>20</v>
      </c>
      <c r="E267" s="2">
        <v>1</v>
      </c>
      <c r="F267" s="1" t="s">
        <v>29</v>
      </c>
      <c r="G267" s="1" t="str">
        <f>INDEX(Table2[Nama Produk],MATCH(Table1[[#This Row],[SKU]],Table2[SKU],0))</f>
        <v>Laptop Pro 14</v>
      </c>
      <c r="H267" s="1" t="str">
        <f>VLOOKUP(Table1[[#This Row],[SKU]],Table2[],3,FALSE)</f>
        <v>Elektronik</v>
      </c>
      <c r="I267" s="37">
        <f>INDEX(Table2[Harga Jual],MATCH(Table1[[#This Row],[SKU]],Table2[SKU],0))</f>
        <v>12000000</v>
      </c>
      <c r="J267" s="37">
        <f>VLOOKUP(Table1[[#This Row],[SKU]],Table2[],4,FALSE)</f>
        <v>8500000</v>
      </c>
      <c r="K267" s="37">
        <f>INDEX(Table3[Biaya Kirim per Unit],MATCH(Table1[[#This Row],[Kota]],Table3[Kota],))</f>
        <v>35000</v>
      </c>
      <c r="L267" s="39">
        <f>VLOOKUP(Table1[[#This Row],[Kode_Promo]],Table4[],2,FALSE)</f>
        <v>0</v>
      </c>
      <c r="M267" s="37">
        <f>Table1[[#This Row],[Jumlah_Unit]]*Table1[[#This Row],[Harga_Satuan]]</f>
        <v>12000000</v>
      </c>
      <c r="N267" s="37">
        <f>Table1[[#This Row],[Total_Pendapatan_Kotor]]*Table1[[#This Row],[Persentase_Diskon]]</f>
        <v>0</v>
      </c>
      <c r="O267" s="37">
        <f>Table1[[#This Row],[Total_Pendapatan_Kotor]]-Table1[[#This Row],[Potongan_Diskon]]</f>
        <v>12000000</v>
      </c>
      <c r="P267" s="37">
        <f>(Table1[[#This Row],[Jumlah_Unit]]*Table1[[#This Row],[HPP_Satuan]])+(Table1[[#This Row],[Jumlah_Unit]]*Table1[[#This Row],[Biaya_Kirim_Satuan]])</f>
        <v>8535000</v>
      </c>
      <c r="Q267" s="37">
        <f>Table1[[#This Row],[Total_Pendapatan_Bersih]]-Table1[[#This Row],[Total_Biaya]]</f>
        <v>3465000</v>
      </c>
      <c r="R267" s="5">
        <f>Table1[[#This Row],[Laba_Kotor]]/Table1[[#This Row],[Total_Pendapatan_Bersih]]</f>
        <v>0.28875000000000001</v>
      </c>
    </row>
    <row r="268" spans="1:18" ht="20.25" thickBot="1" x14ac:dyDescent="0.6">
      <c r="A268" s="3" t="s">
        <v>297</v>
      </c>
      <c r="B268" s="21">
        <v>45924</v>
      </c>
      <c r="C268" s="1" t="s">
        <v>27</v>
      </c>
      <c r="D268" s="1" t="s">
        <v>24</v>
      </c>
      <c r="E268" s="2">
        <v>5</v>
      </c>
      <c r="F268" s="1" t="s">
        <v>25</v>
      </c>
      <c r="G268" s="1" t="str">
        <f>INDEX(Table2[Nama Produk],MATCH(Table1[[#This Row],[SKU]],Table2[SKU],0))</f>
        <v>Mechanical Keyboard</v>
      </c>
      <c r="H268" s="1" t="str">
        <f>VLOOKUP(Table1[[#This Row],[SKU]],Table2[],3,FALSE)</f>
        <v>Aksesori</v>
      </c>
      <c r="I268" s="37">
        <f>INDEX(Table2[Harga Jual],MATCH(Table1[[#This Row],[SKU]],Table2[SKU],0))</f>
        <v>850000</v>
      </c>
      <c r="J268" s="37">
        <f>VLOOKUP(Table1[[#This Row],[SKU]],Table2[],4,FALSE)</f>
        <v>450000</v>
      </c>
      <c r="K268" s="37">
        <f>INDEX(Table3[Biaya Kirim per Unit],MATCH(Table1[[#This Row],[Kota]],Table3[Kota],))</f>
        <v>50000</v>
      </c>
      <c r="L268" s="39">
        <f>VLOOKUP(Table1[[#This Row],[Kode_Promo]],Table4[],2,FALSE)</f>
        <v>0.3</v>
      </c>
      <c r="M268" s="37">
        <f>Table1[[#This Row],[Jumlah_Unit]]*Table1[[#This Row],[Harga_Satuan]]</f>
        <v>4250000</v>
      </c>
      <c r="N268" s="37">
        <f>Table1[[#This Row],[Total_Pendapatan_Kotor]]*Table1[[#This Row],[Persentase_Diskon]]</f>
        <v>1275000</v>
      </c>
      <c r="O268" s="37">
        <f>Table1[[#This Row],[Total_Pendapatan_Kotor]]-Table1[[#This Row],[Potongan_Diskon]]</f>
        <v>2975000</v>
      </c>
      <c r="P268" s="37">
        <f>(Table1[[#This Row],[Jumlah_Unit]]*Table1[[#This Row],[HPP_Satuan]])+(Table1[[#This Row],[Jumlah_Unit]]*Table1[[#This Row],[Biaya_Kirim_Satuan]])</f>
        <v>2500000</v>
      </c>
      <c r="Q268" s="37">
        <f>Table1[[#This Row],[Total_Pendapatan_Bersih]]-Table1[[#This Row],[Total_Biaya]]</f>
        <v>475000</v>
      </c>
      <c r="R268" s="5">
        <f>Table1[[#This Row],[Laba_Kotor]]/Table1[[#This Row],[Total_Pendapatan_Bersih]]</f>
        <v>0.15966386554621848</v>
      </c>
    </row>
    <row r="269" spans="1:18" ht="20.25" thickBot="1" x14ac:dyDescent="0.6">
      <c r="A269" s="3" t="s">
        <v>298</v>
      </c>
      <c r="B269" s="21">
        <v>45925</v>
      </c>
      <c r="C269" s="1" t="s">
        <v>31</v>
      </c>
      <c r="D269" s="1" t="s">
        <v>35</v>
      </c>
      <c r="E269" s="2">
        <v>2</v>
      </c>
      <c r="F269" s="1" t="s">
        <v>33</v>
      </c>
      <c r="G269" s="1" t="str">
        <f>INDEX(Table2[Nama Produk],MATCH(Table1[[#This Row],[SKU]],Table2[SKU],0))</f>
        <v>Meja Adjustable</v>
      </c>
      <c r="H269" s="1" t="str">
        <f>VLOOKUP(Table1[[#This Row],[SKU]],Table2[],3,FALSE)</f>
        <v>Furnitur</v>
      </c>
      <c r="I269" s="37">
        <f>INDEX(Table2[Harga Jual],MATCH(Table1[[#This Row],[SKU]],Table2[SKU],0))</f>
        <v>4200000</v>
      </c>
      <c r="J269" s="37">
        <f>VLOOKUP(Table1[[#This Row],[SKU]],Table2[],4,FALSE)</f>
        <v>2400000</v>
      </c>
      <c r="K269" s="37">
        <f>INDEX(Table3[Biaya Kirim per Unit],MATCH(Table1[[#This Row],[Kota]],Table3[Kota],))</f>
        <v>65000</v>
      </c>
      <c r="L269" s="39">
        <f>VLOOKUP(Table1[[#This Row],[Kode_Promo]],Table4[],2,FALSE)</f>
        <v>0.2</v>
      </c>
      <c r="M269" s="37">
        <f>Table1[[#This Row],[Jumlah_Unit]]*Table1[[#This Row],[Harga_Satuan]]</f>
        <v>8400000</v>
      </c>
      <c r="N269" s="37">
        <f>Table1[[#This Row],[Total_Pendapatan_Kotor]]*Table1[[#This Row],[Persentase_Diskon]]</f>
        <v>1680000</v>
      </c>
      <c r="O269" s="37">
        <f>Table1[[#This Row],[Total_Pendapatan_Kotor]]-Table1[[#This Row],[Potongan_Diskon]]</f>
        <v>6720000</v>
      </c>
      <c r="P269" s="37">
        <f>(Table1[[#This Row],[Jumlah_Unit]]*Table1[[#This Row],[HPP_Satuan]])+(Table1[[#This Row],[Jumlah_Unit]]*Table1[[#This Row],[Biaya_Kirim_Satuan]])</f>
        <v>4930000</v>
      </c>
      <c r="Q269" s="37">
        <f>Table1[[#This Row],[Total_Pendapatan_Bersih]]-Table1[[#This Row],[Total_Biaya]]</f>
        <v>1790000</v>
      </c>
      <c r="R269" s="5">
        <f>Table1[[#This Row],[Laba_Kotor]]/Table1[[#This Row],[Total_Pendapatan_Bersih]]</f>
        <v>0.26636904761904762</v>
      </c>
    </row>
    <row r="270" spans="1:18" ht="20.25" thickBot="1" x14ac:dyDescent="0.6">
      <c r="A270" s="3" t="s">
        <v>299</v>
      </c>
      <c r="B270" s="21">
        <v>45926</v>
      </c>
      <c r="C270" s="1" t="s">
        <v>19</v>
      </c>
      <c r="D270" s="1" t="s">
        <v>32</v>
      </c>
      <c r="E270" s="2">
        <v>4</v>
      </c>
      <c r="F270" s="1" t="s">
        <v>21</v>
      </c>
      <c r="G270" s="1" t="str">
        <f>INDEX(Table2[Nama Produk],MATCH(Table1[[#This Row],[SKU]],Table2[SKU],0))</f>
        <v>Monitor Ergonomis 27</v>
      </c>
      <c r="H270" s="1" t="str">
        <f>VLOOKUP(Table1[[#This Row],[SKU]],Table2[],3,FALSE)</f>
        <v>Elektronik</v>
      </c>
      <c r="I270" s="37">
        <f>INDEX(Table2[Harga Jual],MATCH(Table1[[#This Row],[SKU]],Table2[SKU],0))</f>
        <v>3400000</v>
      </c>
      <c r="J270" s="37">
        <f>VLOOKUP(Table1[[#This Row],[SKU]],Table2[],4,FALSE)</f>
        <v>2100000</v>
      </c>
      <c r="K270" s="37">
        <f>INDEX(Table3[Biaya Kirim per Unit],MATCH(Table1[[#This Row],[Kota]],Table3[Kota],))</f>
        <v>25000</v>
      </c>
      <c r="L270" s="39">
        <f>VLOOKUP(Table1[[#This Row],[Kode_Promo]],Table4[],2,FALSE)</f>
        <v>0.1</v>
      </c>
      <c r="M270" s="37">
        <f>Table1[[#This Row],[Jumlah_Unit]]*Table1[[#This Row],[Harga_Satuan]]</f>
        <v>13600000</v>
      </c>
      <c r="N270" s="37">
        <f>Table1[[#This Row],[Total_Pendapatan_Kotor]]*Table1[[#This Row],[Persentase_Diskon]]</f>
        <v>1360000</v>
      </c>
      <c r="O270" s="37">
        <f>Table1[[#This Row],[Total_Pendapatan_Kotor]]-Table1[[#This Row],[Potongan_Diskon]]</f>
        <v>12240000</v>
      </c>
      <c r="P270" s="37">
        <f>(Table1[[#This Row],[Jumlah_Unit]]*Table1[[#This Row],[HPP_Satuan]])+(Table1[[#This Row],[Jumlah_Unit]]*Table1[[#This Row],[Biaya_Kirim_Satuan]])</f>
        <v>8500000</v>
      </c>
      <c r="Q270" s="37">
        <f>Table1[[#This Row],[Total_Pendapatan_Bersih]]-Table1[[#This Row],[Total_Biaya]]</f>
        <v>3740000</v>
      </c>
      <c r="R270" s="5">
        <f>Table1[[#This Row],[Laba_Kotor]]/Table1[[#This Row],[Total_Pendapatan_Bersih]]</f>
        <v>0.30555555555555558</v>
      </c>
    </row>
    <row r="271" spans="1:18" ht="20.25" thickBot="1" x14ac:dyDescent="0.6">
      <c r="A271" s="3" t="s">
        <v>300</v>
      </c>
      <c r="B271" s="21">
        <v>45927</v>
      </c>
      <c r="C271" s="1" t="s">
        <v>23</v>
      </c>
      <c r="D271" s="1" t="s">
        <v>28</v>
      </c>
      <c r="E271" s="2">
        <v>1</v>
      </c>
      <c r="F271" s="1" t="s">
        <v>25</v>
      </c>
      <c r="G271" s="1" t="str">
        <f>INDEX(Table2[Nama Produk],MATCH(Table1[[#This Row],[SKU]],Table2[SKU],0))</f>
        <v>Kursi Kerja Ergonomis</v>
      </c>
      <c r="H271" s="1" t="str">
        <f>VLOOKUP(Table1[[#This Row],[SKU]],Table2[],3,FALSE)</f>
        <v>Furnitur</v>
      </c>
      <c r="I271" s="37">
        <f>INDEX(Table2[Harga Jual],MATCH(Table1[[#This Row],[SKU]],Table2[SKU],0))</f>
        <v>2100000</v>
      </c>
      <c r="J271" s="37">
        <f>VLOOKUP(Table1[[#This Row],[SKU]],Table2[],4,FALSE)</f>
        <v>1200000</v>
      </c>
      <c r="K271" s="37">
        <f>INDEX(Table3[Biaya Kirim per Unit],MATCH(Table1[[#This Row],[Kota]],Table3[Kota],))</f>
        <v>35000</v>
      </c>
      <c r="L271" s="39">
        <f>VLOOKUP(Table1[[#This Row],[Kode_Promo]],Table4[],2,FALSE)</f>
        <v>0.3</v>
      </c>
      <c r="M271" s="37">
        <f>Table1[[#This Row],[Jumlah_Unit]]*Table1[[#This Row],[Harga_Satuan]]</f>
        <v>2100000</v>
      </c>
      <c r="N271" s="37">
        <f>Table1[[#This Row],[Total_Pendapatan_Kotor]]*Table1[[#This Row],[Persentase_Diskon]]</f>
        <v>630000</v>
      </c>
      <c r="O271" s="37">
        <f>Table1[[#This Row],[Total_Pendapatan_Kotor]]-Table1[[#This Row],[Potongan_Diskon]]</f>
        <v>1470000</v>
      </c>
      <c r="P271" s="37">
        <f>(Table1[[#This Row],[Jumlah_Unit]]*Table1[[#This Row],[HPP_Satuan]])+(Table1[[#This Row],[Jumlah_Unit]]*Table1[[#This Row],[Biaya_Kirim_Satuan]])</f>
        <v>1235000</v>
      </c>
      <c r="Q271" s="37">
        <f>Table1[[#This Row],[Total_Pendapatan_Bersih]]-Table1[[#This Row],[Total_Biaya]]</f>
        <v>235000</v>
      </c>
      <c r="R271" s="5">
        <f>Table1[[#This Row],[Laba_Kotor]]/Table1[[#This Row],[Total_Pendapatan_Bersih]]</f>
        <v>0.1598639455782313</v>
      </c>
    </row>
    <row r="272" spans="1:18" ht="20.25" thickBot="1" x14ac:dyDescent="0.6">
      <c r="A272" s="3" t="s">
        <v>301</v>
      </c>
      <c r="B272" s="21">
        <v>45928</v>
      </c>
      <c r="C272" s="1" t="s">
        <v>27</v>
      </c>
      <c r="D272" s="1" t="s">
        <v>20</v>
      </c>
      <c r="E272" s="2">
        <v>2</v>
      </c>
      <c r="F272" s="1" t="s">
        <v>29</v>
      </c>
      <c r="G272" s="1" t="str">
        <f>INDEX(Table2[Nama Produk],MATCH(Table1[[#This Row],[SKU]],Table2[SKU],0))</f>
        <v>Laptop Pro 14</v>
      </c>
      <c r="H272" s="1" t="str">
        <f>VLOOKUP(Table1[[#This Row],[SKU]],Table2[],3,FALSE)</f>
        <v>Elektronik</v>
      </c>
      <c r="I272" s="37">
        <f>INDEX(Table2[Harga Jual],MATCH(Table1[[#This Row],[SKU]],Table2[SKU],0))</f>
        <v>12000000</v>
      </c>
      <c r="J272" s="37">
        <f>VLOOKUP(Table1[[#This Row],[SKU]],Table2[],4,FALSE)</f>
        <v>8500000</v>
      </c>
      <c r="K272" s="37">
        <f>INDEX(Table3[Biaya Kirim per Unit],MATCH(Table1[[#This Row],[Kota]],Table3[Kota],))</f>
        <v>50000</v>
      </c>
      <c r="L272" s="39">
        <f>VLOOKUP(Table1[[#This Row],[Kode_Promo]],Table4[],2,FALSE)</f>
        <v>0</v>
      </c>
      <c r="M272" s="37">
        <f>Table1[[#This Row],[Jumlah_Unit]]*Table1[[#This Row],[Harga_Satuan]]</f>
        <v>24000000</v>
      </c>
      <c r="N272" s="37">
        <f>Table1[[#This Row],[Total_Pendapatan_Kotor]]*Table1[[#This Row],[Persentase_Diskon]]</f>
        <v>0</v>
      </c>
      <c r="O272" s="37">
        <f>Table1[[#This Row],[Total_Pendapatan_Kotor]]-Table1[[#This Row],[Potongan_Diskon]]</f>
        <v>24000000</v>
      </c>
      <c r="P272" s="37">
        <f>(Table1[[#This Row],[Jumlah_Unit]]*Table1[[#This Row],[HPP_Satuan]])+(Table1[[#This Row],[Jumlah_Unit]]*Table1[[#This Row],[Biaya_Kirim_Satuan]])</f>
        <v>17100000</v>
      </c>
      <c r="Q272" s="37">
        <f>Table1[[#This Row],[Total_Pendapatan_Bersih]]-Table1[[#This Row],[Total_Biaya]]</f>
        <v>6900000</v>
      </c>
      <c r="R272" s="5">
        <f>Table1[[#This Row],[Laba_Kotor]]/Table1[[#This Row],[Total_Pendapatan_Bersih]]</f>
        <v>0.28749999999999998</v>
      </c>
    </row>
    <row r="273" spans="1:18" ht="20.25" thickBot="1" x14ac:dyDescent="0.6">
      <c r="A273" s="3" t="s">
        <v>302</v>
      </c>
      <c r="B273" s="21">
        <v>45929</v>
      </c>
      <c r="C273" s="1" t="s">
        <v>31</v>
      </c>
      <c r="D273" s="1" t="s">
        <v>24</v>
      </c>
      <c r="E273" s="2">
        <v>7</v>
      </c>
      <c r="F273" s="1" t="s">
        <v>33</v>
      </c>
      <c r="G273" s="1" t="str">
        <f>INDEX(Table2[Nama Produk],MATCH(Table1[[#This Row],[SKU]],Table2[SKU],0))</f>
        <v>Mechanical Keyboard</v>
      </c>
      <c r="H273" s="1" t="str">
        <f>VLOOKUP(Table1[[#This Row],[SKU]],Table2[],3,FALSE)</f>
        <v>Aksesori</v>
      </c>
      <c r="I273" s="37">
        <f>INDEX(Table2[Harga Jual],MATCH(Table1[[#This Row],[SKU]],Table2[SKU],0))</f>
        <v>850000</v>
      </c>
      <c r="J273" s="37">
        <f>VLOOKUP(Table1[[#This Row],[SKU]],Table2[],4,FALSE)</f>
        <v>450000</v>
      </c>
      <c r="K273" s="37">
        <f>INDEX(Table3[Biaya Kirim per Unit],MATCH(Table1[[#This Row],[Kota]],Table3[Kota],))</f>
        <v>65000</v>
      </c>
      <c r="L273" s="39">
        <f>VLOOKUP(Table1[[#This Row],[Kode_Promo]],Table4[],2,FALSE)</f>
        <v>0.2</v>
      </c>
      <c r="M273" s="37">
        <f>Table1[[#This Row],[Jumlah_Unit]]*Table1[[#This Row],[Harga_Satuan]]</f>
        <v>5950000</v>
      </c>
      <c r="N273" s="37">
        <f>Table1[[#This Row],[Total_Pendapatan_Kotor]]*Table1[[#This Row],[Persentase_Diskon]]</f>
        <v>1190000</v>
      </c>
      <c r="O273" s="37">
        <f>Table1[[#This Row],[Total_Pendapatan_Kotor]]-Table1[[#This Row],[Potongan_Diskon]]</f>
        <v>4760000</v>
      </c>
      <c r="P273" s="37">
        <f>(Table1[[#This Row],[Jumlah_Unit]]*Table1[[#This Row],[HPP_Satuan]])+(Table1[[#This Row],[Jumlah_Unit]]*Table1[[#This Row],[Biaya_Kirim_Satuan]])</f>
        <v>3605000</v>
      </c>
      <c r="Q273" s="37">
        <f>Table1[[#This Row],[Total_Pendapatan_Bersih]]-Table1[[#This Row],[Total_Biaya]]</f>
        <v>1155000</v>
      </c>
      <c r="R273" s="5">
        <f>Table1[[#This Row],[Laba_Kotor]]/Table1[[#This Row],[Total_Pendapatan_Bersih]]</f>
        <v>0.24264705882352941</v>
      </c>
    </row>
    <row r="274" spans="1:18" ht="20.25" thickBot="1" x14ac:dyDescent="0.6">
      <c r="A274" s="3" t="s">
        <v>303</v>
      </c>
      <c r="B274" s="21">
        <v>45930</v>
      </c>
      <c r="C274" s="1" t="s">
        <v>19</v>
      </c>
      <c r="D274" s="1" t="s">
        <v>28</v>
      </c>
      <c r="E274" s="2">
        <v>3</v>
      </c>
      <c r="F274" s="1" t="s">
        <v>21</v>
      </c>
      <c r="G274" s="1" t="str">
        <f>INDEX(Table2[Nama Produk],MATCH(Table1[[#This Row],[SKU]],Table2[SKU],0))</f>
        <v>Kursi Kerja Ergonomis</v>
      </c>
      <c r="H274" s="1" t="str">
        <f>VLOOKUP(Table1[[#This Row],[SKU]],Table2[],3,FALSE)</f>
        <v>Furnitur</v>
      </c>
      <c r="I274" s="37">
        <f>INDEX(Table2[Harga Jual],MATCH(Table1[[#This Row],[SKU]],Table2[SKU],0))</f>
        <v>2100000</v>
      </c>
      <c r="J274" s="37">
        <f>VLOOKUP(Table1[[#This Row],[SKU]],Table2[],4,FALSE)</f>
        <v>1200000</v>
      </c>
      <c r="K274" s="37">
        <f>INDEX(Table3[Biaya Kirim per Unit],MATCH(Table1[[#This Row],[Kota]],Table3[Kota],))</f>
        <v>25000</v>
      </c>
      <c r="L274" s="39">
        <f>VLOOKUP(Table1[[#This Row],[Kode_Promo]],Table4[],2,FALSE)</f>
        <v>0.1</v>
      </c>
      <c r="M274" s="37">
        <f>Table1[[#This Row],[Jumlah_Unit]]*Table1[[#This Row],[Harga_Satuan]]</f>
        <v>6300000</v>
      </c>
      <c r="N274" s="37">
        <f>Table1[[#This Row],[Total_Pendapatan_Kotor]]*Table1[[#This Row],[Persentase_Diskon]]</f>
        <v>630000</v>
      </c>
      <c r="O274" s="37">
        <f>Table1[[#This Row],[Total_Pendapatan_Kotor]]-Table1[[#This Row],[Potongan_Diskon]]</f>
        <v>5670000</v>
      </c>
      <c r="P274" s="37">
        <f>(Table1[[#This Row],[Jumlah_Unit]]*Table1[[#This Row],[HPP_Satuan]])+(Table1[[#This Row],[Jumlah_Unit]]*Table1[[#This Row],[Biaya_Kirim_Satuan]])</f>
        <v>3675000</v>
      </c>
      <c r="Q274" s="37">
        <f>Table1[[#This Row],[Total_Pendapatan_Bersih]]-Table1[[#This Row],[Total_Biaya]]</f>
        <v>1995000</v>
      </c>
      <c r="R274" s="5">
        <f>Table1[[#This Row],[Laba_Kotor]]/Table1[[#This Row],[Total_Pendapatan_Bersih]]</f>
        <v>0.35185185185185186</v>
      </c>
    </row>
    <row r="275" spans="1:18" ht="20.25" thickBot="1" x14ac:dyDescent="0.6">
      <c r="A275" s="3" t="s">
        <v>304</v>
      </c>
      <c r="B275" s="21">
        <v>45931</v>
      </c>
      <c r="C275" s="1" t="s">
        <v>23</v>
      </c>
      <c r="D275" s="1" t="s">
        <v>32</v>
      </c>
      <c r="E275" s="2">
        <v>2</v>
      </c>
      <c r="F275" s="1" t="s">
        <v>25</v>
      </c>
      <c r="G275" s="1" t="str">
        <f>INDEX(Table2[Nama Produk],MATCH(Table1[[#This Row],[SKU]],Table2[SKU],0))</f>
        <v>Monitor Ergonomis 27</v>
      </c>
      <c r="H275" s="1" t="str">
        <f>VLOOKUP(Table1[[#This Row],[SKU]],Table2[],3,FALSE)</f>
        <v>Elektronik</v>
      </c>
      <c r="I275" s="37">
        <f>INDEX(Table2[Harga Jual],MATCH(Table1[[#This Row],[SKU]],Table2[SKU],0))</f>
        <v>3400000</v>
      </c>
      <c r="J275" s="37">
        <f>VLOOKUP(Table1[[#This Row],[SKU]],Table2[],4,FALSE)</f>
        <v>2100000</v>
      </c>
      <c r="K275" s="37">
        <f>INDEX(Table3[Biaya Kirim per Unit],MATCH(Table1[[#This Row],[Kota]],Table3[Kota],))</f>
        <v>35000</v>
      </c>
      <c r="L275" s="39">
        <f>VLOOKUP(Table1[[#This Row],[Kode_Promo]],Table4[],2,FALSE)</f>
        <v>0.3</v>
      </c>
      <c r="M275" s="37">
        <f>Table1[[#This Row],[Jumlah_Unit]]*Table1[[#This Row],[Harga_Satuan]]</f>
        <v>6800000</v>
      </c>
      <c r="N275" s="37">
        <f>Table1[[#This Row],[Total_Pendapatan_Kotor]]*Table1[[#This Row],[Persentase_Diskon]]</f>
        <v>2040000</v>
      </c>
      <c r="O275" s="37">
        <f>Table1[[#This Row],[Total_Pendapatan_Kotor]]-Table1[[#This Row],[Potongan_Diskon]]</f>
        <v>4760000</v>
      </c>
      <c r="P275" s="37">
        <f>(Table1[[#This Row],[Jumlah_Unit]]*Table1[[#This Row],[HPP_Satuan]])+(Table1[[#This Row],[Jumlah_Unit]]*Table1[[#This Row],[Biaya_Kirim_Satuan]])</f>
        <v>4270000</v>
      </c>
      <c r="Q275" s="37">
        <f>Table1[[#This Row],[Total_Pendapatan_Bersih]]-Table1[[#This Row],[Total_Biaya]]</f>
        <v>490000</v>
      </c>
      <c r="R275" s="5">
        <f>Table1[[#This Row],[Laba_Kotor]]/Table1[[#This Row],[Total_Pendapatan_Bersih]]</f>
        <v>0.10294117647058823</v>
      </c>
    </row>
    <row r="276" spans="1:18" ht="20.25" thickBot="1" x14ac:dyDescent="0.6">
      <c r="A276" s="3" t="s">
        <v>305</v>
      </c>
      <c r="B276" s="21">
        <v>45932</v>
      </c>
      <c r="C276" s="1" t="s">
        <v>27</v>
      </c>
      <c r="D276" s="1" t="s">
        <v>35</v>
      </c>
      <c r="E276" s="2">
        <v>4</v>
      </c>
      <c r="F276" s="1" t="s">
        <v>29</v>
      </c>
      <c r="G276" s="1" t="str">
        <f>INDEX(Table2[Nama Produk],MATCH(Table1[[#This Row],[SKU]],Table2[SKU],0))</f>
        <v>Meja Adjustable</v>
      </c>
      <c r="H276" s="1" t="str">
        <f>VLOOKUP(Table1[[#This Row],[SKU]],Table2[],3,FALSE)</f>
        <v>Furnitur</v>
      </c>
      <c r="I276" s="37">
        <f>INDEX(Table2[Harga Jual],MATCH(Table1[[#This Row],[SKU]],Table2[SKU],0))</f>
        <v>4200000</v>
      </c>
      <c r="J276" s="37">
        <f>VLOOKUP(Table1[[#This Row],[SKU]],Table2[],4,FALSE)</f>
        <v>2400000</v>
      </c>
      <c r="K276" s="37">
        <f>INDEX(Table3[Biaya Kirim per Unit],MATCH(Table1[[#This Row],[Kota]],Table3[Kota],))</f>
        <v>50000</v>
      </c>
      <c r="L276" s="39">
        <f>VLOOKUP(Table1[[#This Row],[Kode_Promo]],Table4[],2,FALSE)</f>
        <v>0</v>
      </c>
      <c r="M276" s="37">
        <f>Table1[[#This Row],[Jumlah_Unit]]*Table1[[#This Row],[Harga_Satuan]]</f>
        <v>16800000</v>
      </c>
      <c r="N276" s="37">
        <f>Table1[[#This Row],[Total_Pendapatan_Kotor]]*Table1[[#This Row],[Persentase_Diskon]]</f>
        <v>0</v>
      </c>
      <c r="O276" s="37">
        <f>Table1[[#This Row],[Total_Pendapatan_Kotor]]-Table1[[#This Row],[Potongan_Diskon]]</f>
        <v>16800000</v>
      </c>
      <c r="P276" s="37">
        <f>(Table1[[#This Row],[Jumlah_Unit]]*Table1[[#This Row],[HPP_Satuan]])+(Table1[[#This Row],[Jumlah_Unit]]*Table1[[#This Row],[Biaya_Kirim_Satuan]])</f>
        <v>9800000</v>
      </c>
      <c r="Q276" s="37">
        <f>Table1[[#This Row],[Total_Pendapatan_Bersih]]-Table1[[#This Row],[Total_Biaya]]</f>
        <v>7000000</v>
      </c>
      <c r="R276" s="5">
        <f>Table1[[#This Row],[Laba_Kotor]]/Table1[[#This Row],[Total_Pendapatan_Bersih]]</f>
        <v>0.41666666666666669</v>
      </c>
    </row>
    <row r="277" spans="1:18" ht="20.25" thickBot="1" x14ac:dyDescent="0.6">
      <c r="A277" s="3" t="s">
        <v>306</v>
      </c>
      <c r="B277" s="21">
        <v>45933</v>
      </c>
      <c r="C277" s="1" t="s">
        <v>31</v>
      </c>
      <c r="D277" s="1" t="s">
        <v>20</v>
      </c>
      <c r="E277" s="2">
        <v>3</v>
      </c>
      <c r="F277" s="1" t="s">
        <v>33</v>
      </c>
      <c r="G277" s="1" t="str">
        <f>INDEX(Table2[Nama Produk],MATCH(Table1[[#This Row],[SKU]],Table2[SKU],0))</f>
        <v>Laptop Pro 14</v>
      </c>
      <c r="H277" s="1" t="str">
        <f>VLOOKUP(Table1[[#This Row],[SKU]],Table2[],3,FALSE)</f>
        <v>Elektronik</v>
      </c>
      <c r="I277" s="37">
        <f>INDEX(Table2[Harga Jual],MATCH(Table1[[#This Row],[SKU]],Table2[SKU],0))</f>
        <v>12000000</v>
      </c>
      <c r="J277" s="37">
        <f>VLOOKUP(Table1[[#This Row],[SKU]],Table2[],4,FALSE)</f>
        <v>8500000</v>
      </c>
      <c r="K277" s="37">
        <f>INDEX(Table3[Biaya Kirim per Unit],MATCH(Table1[[#This Row],[Kota]],Table3[Kota],))</f>
        <v>65000</v>
      </c>
      <c r="L277" s="39">
        <f>VLOOKUP(Table1[[#This Row],[Kode_Promo]],Table4[],2,FALSE)</f>
        <v>0.2</v>
      </c>
      <c r="M277" s="37">
        <f>Table1[[#This Row],[Jumlah_Unit]]*Table1[[#This Row],[Harga_Satuan]]</f>
        <v>36000000</v>
      </c>
      <c r="N277" s="37">
        <f>Table1[[#This Row],[Total_Pendapatan_Kotor]]*Table1[[#This Row],[Persentase_Diskon]]</f>
        <v>7200000</v>
      </c>
      <c r="O277" s="37">
        <f>Table1[[#This Row],[Total_Pendapatan_Kotor]]-Table1[[#This Row],[Potongan_Diskon]]</f>
        <v>28800000</v>
      </c>
      <c r="P277" s="37">
        <f>(Table1[[#This Row],[Jumlah_Unit]]*Table1[[#This Row],[HPP_Satuan]])+(Table1[[#This Row],[Jumlah_Unit]]*Table1[[#This Row],[Biaya_Kirim_Satuan]])</f>
        <v>25695000</v>
      </c>
      <c r="Q277" s="37">
        <f>Table1[[#This Row],[Total_Pendapatan_Bersih]]-Table1[[#This Row],[Total_Biaya]]</f>
        <v>3105000</v>
      </c>
      <c r="R277" s="5">
        <f>Table1[[#This Row],[Laba_Kotor]]/Table1[[#This Row],[Total_Pendapatan_Bersih]]</f>
        <v>0.10781250000000001</v>
      </c>
    </row>
    <row r="278" spans="1:18" ht="20.25" thickBot="1" x14ac:dyDescent="0.6">
      <c r="A278" s="3" t="s">
        <v>307</v>
      </c>
      <c r="B278" s="21">
        <v>45934</v>
      </c>
      <c r="C278" s="1" t="s">
        <v>19</v>
      </c>
      <c r="D278" s="1" t="s">
        <v>24</v>
      </c>
      <c r="E278" s="2">
        <v>6</v>
      </c>
      <c r="F278" s="1" t="s">
        <v>21</v>
      </c>
      <c r="G278" s="1" t="str">
        <f>INDEX(Table2[Nama Produk],MATCH(Table1[[#This Row],[SKU]],Table2[SKU],0))</f>
        <v>Mechanical Keyboard</v>
      </c>
      <c r="H278" s="1" t="str">
        <f>VLOOKUP(Table1[[#This Row],[SKU]],Table2[],3,FALSE)</f>
        <v>Aksesori</v>
      </c>
      <c r="I278" s="37">
        <f>INDEX(Table2[Harga Jual],MATCH(Table1[[#This Row],[SKU]],Table2[SKU],0))</f>
        <v>850000</v>
      </c>
      <c r="J278" s="37">
        <f>VLOOKUP(Table1[[#This Row],[SKU]],Table2[],4,FALSE)</f>
        <v>450000</v>
      </c>
      <c r="K278" s="37">
        <f>INDEX(Table3[Biaya Kirim per Unit],MATCH(Table1[[#This Row],[Kota]],Table3[Kota],))</f>
        <v>25000</v>
      </c>
      <c r="L278" s="39">
        <f>VLOOKUP(Table1[[#This Row],[Kode_Promo]],Table4[],2,FALSE)</f>
        <v>0.1</v>
      </c>
      <c r="M278" s="37">
        <f>Table1[[#This Row],[Jumlah_Unit]]*Table1[[#This Row],[Harga_Satuan]]</f>
        <v>5100000</v>
      </c>
      <c r="N278" s="37">
        <f>Table1[[#This Row],[Total_Pendapatan_Kotor]]*Table1[[#This Row],[Persentase_Diskon]]</f>
        <v>510000</v>
      </c>
      <c r="O278" s="37">
        <f>Table1[[#This Row],[Total_Pendapatan_Kotor]]-Table1[[#This Row],[Potongan_Diskon]]</f>
        <v>4590000</v>
      </c>
      <c r="P278" s="37">
        <f>(Table1[[#This Row],[Jumlah_Unit]]*Table1[[#This Row],[HPP_Satuan]])+(Table1[[#This Row],[Jumlah_Unit]]*Table1[[#This Row],[Biaya_Kirim_Satuan]])</f>
        <v>2850000</v>
      </c>
      <c r="Q278" s="37">
        <f>Table1[[#This Row],[Total_Pendapatan_Bersih]]-Table1[[#This Row],[Total_Biaya]]</f>
        <v>1740000</v>
      </c>
      <c r="R278" s="5">
        <f>Table1[[#This Row],[Laba_Kotor]]/Table1[[#This Row],[Total_Pendapatan_Bersih]]</f>
        <v>0.37908496732026142</v>
      </c>
    </row>
    <row r="279" spans="1:18" ht="20.25" thickBot="1" x14ac:dyDescent="0.6">
      <c r="A279" s="3" t="s">
        <v>308</v>
      </c>
      <c r="B279" s="21">
        <v>45935</v>
      </c>
      <c r="C279" s="1" t="s">
        <v>23</v>
      </c>
      <c r="D279" s="1" t="s">
        <v>35</v>
      </c>
      <c r="E279" s="2">
        <v>1</v>
      </c>
      <c r="F279" s="1" t="s">
        <v>25</v>
      </c>
      <c r="G279" s="1" t="str">
        <f>INDEX(Table2[Nama Produk],MATCH(Table1[[#This Row],[SKU]],Table2[SKU],0))</f>
        <v>Meja Adjustable</v>
      </c>
      <c r="H279" s="1" t="str">
        <f>VLOOKUP(Table1[[#This Row],[SKU]],Table2[],3,FALSE)</f>
        <v>Furnitur</v>
      </c>
      <c r="I279" s="37">
        <f>INDEX(Table2[Harga Jual],MATCH(Table1[[#This Row],[SKU]],Table2[SKU],0))</f>
        <v>4200000</v>
      </c>
      <c r="J279" s="37">
        <f>VLOOKUP(Table1[[#This Row],[SKU]],Table2[],4,FALSE)</f>
        <v>2400000</v>
      </c>
      <c r="K279" s="37">
        <f>INDEX(Table3[Biaya Kirim per Unit],MATCH(Table1[[#This Row],[Kota]],Table3[Kota],))</f>
        <v>35000</v>
      </c>
      <c r="L279" s="39">
        <f>VLOOKUP(Table1[[#This Row],[Kode_Promo]],Table4[],2,FALSE)</f>
        <v>0.3</v>
      </c>
      <c r="M279" s="37">
        <f>Table1[[#This Row],[Jumlah_Unit]]*Table1[[#This Row],[Harga_Satuan]]</f>
        <v>4200000</v>
      </c>
      <c r="N279" s="37">
        <f>Table1[[#This Row],[Total_Pendapatan_Kotor]]*Table1[[#This Row],[Persentase_Diskon]]</f>
        <v>1260000</v>
      </c>
      <c r="O279" s="37">
        <f>Table1[[#This Row],[Total_Pendapatan_Kotor]]-Table1[[#This Row],[Potongan_Diskon]]</f>
        <v>2940000</v>
      </c>
      <c r="P279" s="37">
        <f>(Table1[[#This Row],[Jumlah_Unit]]*Table1[[#This Row],[HPP_Satuan]])+(Table1[[#This Row],[Jumlah_Unit]]*Table1[[#This Row],[Biaya_Kirim_Satuan]])</f>
        <v>2435000</v>
      </c>
      <c r="Q279" s="37">
        <f>Table1[[#This Row],[Total_Pendapatan_Bersih]]-Table1[[#This Row],[Total_Biaya]]</f>
        <v>505000</v>
      </c>
      <c r="R279" s="5">
        <f>Table1[[#This Row],[Laba_Kotor]]/Table1[[#This Row],[Total_Pendapatan_Bersih]]</f>
        <v>0.17176870748299319</v>
      </c>
    </row>
    <row r="280" spans="1:18" ht="20.25" thickBot="1" x14ac:dyDescent="0.6">
      <c r="A280" s="3" t="s">
        <v>309</v>
      </c>
      <c r="B280" s="21">
        <v>45936</v>
      </c>
      <c r="C280" s="1" t="s">
        <v>27</v>
      </c>
      <c r="D280" s="1" t="s">
        <v>32</v>
      </c>
      <c r="E280" s="2">
        <v>3</v>
      </c>
      <c r="F280" s="1" t="s">
        <v>29</v>
      </c>
      <c r="G280" s="1" t="str">
        <f>INDEX(Table2[Nama Produk],MATCH(Table1[[#This Row],[SKU]],Table2[SKU],0))</f>
        <v>Monitor Ergonomis 27</v>
      </c>
      <c r="H280" s="1" t="str">
        <f>VLOOKUP(Table1[[#This Row],[SKU]],Table2[],3,FALSE)</f>
        <v>Elektronik</v>
      </c>
      <c r="I280" s="37">
        <f>INDEX(Table2[Harga Jual],MATCH(Table1[[#This Row],[SKU]],Table2[SKU],0))</f>
        <v>3400000</v>
      </c>
      <c r="J280" s="37">
        <f>VLOOKUP(Table1[[#This Row],[SKU]],Table2[],4,FALSE)</f>
        <v>2100000</v>
      </c>
      <c r="K280" s="37">
        <f>INDEX(Table3[Biaya Kirim per Unit],MATCH(Table1[[#This Row],[Kota]],Table3[Kota],))</f>
        <v>50000</v>
      </c>
      <c r="L280" s="39">
        <f>VLOOKUP(Table1[[#This Row],[Kode_Promo]],Table4[],2,FALSE)</f>
        <v>0</v>
      </c>
      <c r="M280" s="37">
        <f>Table1[[#This Row],[Jumlah_Unit]]*Table1[[#This Row],[Harga_Satuan]]</f>
        <v>10200000</v>
      </c>
      <c r="N280" s="37">
        <f>Table1[[#This Row],[Total_Pendapatan_Kotor]]*Table1[[#This Row],[Persentase_Diskon]]</f>
        <v>0</v>
      </c>
      <c r="O280" s="37">
        <f>Table1[[#This Row],[Total_Pendapatan_Kotor]]-Table1[[#This Row],[Potongan_Diskon]]</f>
        <v>10200000</v>
      </c>
      <c r="P280" s="37">
        <f>(Table1[[#This Row],[Jumlah_Unit]]*Table1[[#This Row],[HPP_Satuan]])+(Table1[[#This Row],[Jumlah_Unit]]*Table1[[#This Row],[Biaya_Kirim_Satuan]])</f>
        <v>6450000</v>
      </c>
      <c r="Q280" s="37">
        <f>Table1[[#This Row],[Total_Pendapatan_Bersih]]-Table1[[#This Row],[Total_Biaya]]</f>
        <v>3750000</v>
      </c>
      <c r="R280" s="5">
        <f>Table1[[#This Row],[Laba_Kotor]]/Table1[[#This Row],[Total_Pendapatan_Bersih]]</f>
        <v>0.36764705882352944</v>
      </c>
    </row>
    <row r="281" spans="1:18" ht="20.25" thickBot="1" x14ac:dyDescent="0.6">
      <c r="A281" s="3" t="s">
        <v>310</v>
      </c>
      <c r="B281" s="21">
        <v>45937</v>
      </c>
      <c r="C281" s="1" t="s">
        <v>31</v>
      </c>
      <c r="D281" s="1" t="s">
        <v>28</v>
      </c>
      <c r="E281" s="2">
        <v>2</v>
      </c>
      <c r="F281" s="1" t="s">
        <v>33</v>
      </c>
      <c r="G281" s="1" t="str">
        <f>INDEX(Table2[Nama Produk],MATCH(Table1[[#This Row],[SKU]],Table2[SKU],0))</f>
        <v>Kursi Kerja Ergonomis</v>
      </c>
      <c r="H281" s="1" t="str">
        <f>VLOOKUP(Table1[[#This Row],[SKU]],Table2[],3,FALSE)</f>
        <v>Furnitur</v>
      </c>
      <c r="I281" s="37">
        <f>INDEX(Table2[Harga Jual],MATCH(Table1[[#This Row],[SKU]],Table2[SKU],0))</f>
        <v>2100000</v>
      </c>
      <c r="J281" s="37">
        <f>VLOOKUP(Table1[[#This Row],[SKU]],Table2[],4,FALSE)</f>
        <v>1200000</v>
      </c>
      <c r="K281" s="37">
        <f>INDEX(Table3[Biaya Kirim per Unit],MATCH(Table1[[#This Row],[Kota]],Table3[Kota],))</f>
        <v>65000</v>
      </c>
      <c r="L281" s="39">
        <f>VLOOKUP(Table1[[#This Row],[Kode_Promo]],Table4[],2,FALSE)</f>
        <v>0.2</v>
      </c>
      <c r="M281" s="37">
        <f>Table1[[#This Row],[Jumlah_Unit]]*Table1[[#This Row],[Harga_Satuan]]</f>
        <v>4200000</v>
      </c>
      <c r="N281" s="37">
        <f>Table1[[#This Row],[Total_Pendapatan_Kotor]]*Table1[[#This Row],[Persentase_Diskon]]</f>
        <v>840000</v>
      </c>
      <c r="O281" s="37">
        <f>Table1[[#This Row],[Total_Pendapatan_Kotor]]-Table1[[#This Row],[Potongan_Diskon]]</f>
        <v>3360000</v>
      </c>
      <c r="P281" s="37">
        <f>(Table1[[#This Row],[Jumlah_Unit]]*Table1[[#This Row],[HPP_Satuan]])+(Table1[[#This Row],[Jumlah_Unit]]*Table1[[#This Row],[Biaya_Kirim_Satuan]])</f>
        <v>2530000</v>
      </c>
      <c r="Q281" s="37">
        <f>Table1[[#This Row],[Total_Pendapatan_Bersih]]-Table1[[#This Row],[Total_Biaya]]</f>
        <v>830000</v>
      </c>
      <c r="R281" s="5">
        <f>Table1[[#This Row],[Laba_Kotor]]/Table1[[#This Row],[Total_Pendapatan_Bersih]]</f>
        <v>0.24702380952380953</v>
      </c>
    </row>
    <row r="282" spans="1:18" ht="20.25" thickBot="1" x14ac:dyDescent="0.6">
      <c r="A282" s="3" t="s">
        <v>311</v>
      </c>
      <c r="B282" s="21">
        <v>45938</v>
      </c>
      <c r="C282" s="1" t="s">
        <v>19</v>
      </c>
      <c r="D282" s="1" t="s">
        <v>20</v>
      </c>
      <c r="E282" s="2">
        <v>2</v>
      </c>
      <c r="F282" s="1" t="s">
        <v>21</v>
      </c>
      <c r="G282" s="1" t="str">
        <f>INDEX(Table2[Nama Produk],MATCH(Table1[[#This Row],[SKU]],Table2[SKU],0))</f>
        <v>Laptop Pro 14</v>
      </c>
      <c r="H282" s="1" t="str">
        <f>VLOOKUP(Table1[[#This Row],[SKU]],Table2[],3,FALSE)</f>
        <v>Elektronik</v>
      </c>
      <c r="I282" s="37">
        <f>INDEX(Table2[Harga Jual],MATCH(Table1[[#This Row],[SKU]],Table2[SKU],0))</f>
        <v>12000000</v>
      </c>
      <c r="J282" s="37">
        <f>VLOOKUP(Table1[[#This Row],[SKU]],Table2[],4,FALSE)</f>
        <v>8500000</v>
      </c>
      <c r="K282" s="37">
        <f>INDEX(Table3[Biaya Kirim per Unit],MATCH(Table1[[#This Row],[Kota]],Table3[Kota],))</f>
        <v>25000</v>
      </c>
      <c r="L282" s="39">
        <f>VLOOKUP(Table1[[#This Row],[Kode_Promo]],Table4[],2,FALSE)</f>
        <v>0.1</v>
      </c>
      <c r="M282" s="37">
        <f>Table1[[#This Row],[Jumlah_Unit]]*Table1[[#This Row],[Harga_Satuan]]</f>
        <v>24000000</v>
      </c>
      <c r="N282" s="37">
        <f>Table1[[#This Row],[Total_Pendapatan_Kotor]]*Table1[[#This Row],[Persentase_Diskon]]</f>
        <v>2400000</v>
      </c>
      <c r="O282" s="37">
        <f>Table1[[#This Row],[Total_Pendapatan_Kotor]]-Table1[[#This Row],[Potongan_Diskon]]</f>
        <v>21600000</v>
      </c>
      <c r="P282" s="37">
        <f>(Table1[[#This Row],[Jumlah_Unit]]*Table1[[#This Row],[HPP_Satuan]])+(Table1[[#This Row],[Jumlah_Unit]]*Table1[[#This Row],[Biaya_Kirim_Satuan]])</f>
        <v>17050000</v>
      </c>
      <c r="Q282" s="37">
        <f>Table1[[#This Row],[Total_Pendapatan_Bersih]]-Table1[[#This Row],[Total_Biaya]]</f>
        <v>4550000</v>
      </c>
      <c r="R282" s="5">
        <f>Table1[[#This Row],[Laba_Kotor]]/Table1[[#This Row],[Total_Pendapatan_Bersih]]</f>
        <v>0.21064814814814814</v>
      </c>
    </row>
    <row r="283" spans="1:18" ht="20.25" thickBot="1" x14ac:dyDescent="0.6">
      <c r="A283" s="3" t="s">
        <v>312</v>
      </c>
      <c r="B283" s="21">
        <v>45939</v>
      </c>
      <c r="C283" s="1" t="s">
        <v>23</v>
      </c>
      <c r="D283" s="1" t="s">
        <v>24</v>
      </c>
      <c r="E283" s="2">
        <v>5</v>
      </c>
      <c r="F283" s="1" t="s">
        <v>25</v>
      </c>
      <c r="G283" s="1" t="str">
        <f>INDEX(Table2[Nama Produk],MATCH(Table1[[#This Row],[SKU]],Table2[SKU],0))</f>
        <v>Mechanical Keyboard</v>
      </c>
      <c r="H283" s="1" t="str">
        <f>VLOOKUP(Table1[[#This Row],[SKU]],Table2[],3,FALSE)</f>
        <v>Aksesori</v>
      </c>
      <c r="I283" s="37">
        <f>INDEX(Table2[Harga Jual],MATCH(Table1[[#This Row],[SKU]],Table2[SKU],0))</f>
        <v>850000</v>
      </c>
      <c r="J283" s="37">
        <f>VLOOKUP(Table1[[#This Row],[SKU]],Table2[],4,FALSE)</f>
        <v>450000</v>
      </c>
      <c r="K283" s="37">
        <f>INDEX(Table3[Biaya Kirim per Unit],MATCH(Table1[[#This Row],[Kota]],Table3[Kota],))</f>
        <v>35000</v>
      </c>
      <c r="L283" s="39">
        <f>VLOOKUP(Table1[[#This Row],[Kode_Promo]],Table4[],2,FALSE)</f>
        <v>0.3</v>
      </c>
      <c r="M283" s="37">
        <f>Table1[[#This Row],[Jumlah_Unit]]*Table1[[#This Row],[Harga_Satuan]]</f>
        <v>4250000</v>
      </c>
      <c r="N283" s="37">
        <f>Table1[[#This Row],[Total_Pendapatan_Kotor]]*Table1[[#This Row],[Persentase_Diskon]]</f>
        <v>1275000</v>
      </c>
      <c r="O283" s="37">
        <f>Table1[[#This Row],[Total_Pendapatan_Kotor]]-Table1[[#This Row],[Potongan_Diskon]]</f>
        <v>2975000</v>
      </c>
      <c r="P283" s="37">
        <f>(Table1[[#This Row],[Jumlah_Unit]]*Table1[[#This Row],[HPP_Satuan]])+(Table1[[#This Row],[Jumlah_Unit]]*Table1[[#This Row],[Biaya_Kirim_Satuan]])</f>
        <v>2425000</v>
      </c>
      <c r="Q283" s="37">
        <f>Table1[[#This Row],[Total_Pendapatan_Bersih]]-Table1[[#This Row],[Total_Biaya]]</f>
        <v>550000</v>
      </c>
      <c r="R283" s="5">
        <f>Table1[[#This Row],[Laba_Kotor]]/Table1[[#This Row],[Total_Pendapatan_Bersih]]</f>
        <v>0.18487394957983194</v>
      </c>
    </row>
    <row r="284" spans="1:18" ht="20.25" thickBot="1" x14ac:dyDescent="0.6">
      <c r="A284" s="3" t="s">
        <v>313</v>
      </c>
      <c r="B284" s="21">
        <v>45940</v>
      </c>
      <c r="C284" s="1" t="s">
        <v>27</v>
      </c>
      <c r="D284" s="1" t="s">
        <v>28</v>
      </c>
      <c r="E284" s="2">
        <v>4</v>
      </c>
      <c r="F284" s="1" t="s">
        <v>29</v>
      </c>
      <c r="G284" s="1" t="str">
        <f>INDEX(Table2[Nama Produk],MATCH(Table1[[#This Row],[SKU]],Table2[SKU],0))</f>
        <v>Kursi Kerja Ergonomis</v>
      </c>
      <c r="H284" s="1" t="str">
        <f>VLOOKUP(Table1[[#This Row],[SKU]],Table2[],3,FALSE)</f>
        <v>Furnitur</v>
      </c>
      <c r="I284" s="37">
        <f>INDEX(Table2[Harga Jual],MATCH(Table1[[#This Row],[SKU]],Table2[SKU],0))</f>
        <v>2100000</v>
      </c>
      <c r="J284" s="37">
        <f>VLOOKUP(Table1[[#This Row],[SKU]],Table2[],4,FALSE)</f>
        <v>1200000</v>
      </c>
      <c r="K284" s="37">
        <f>INDEX(Table3[Biaya Kirim per Unit],MATCH(Table1[[#This Row],[Kota]],Table3[Kota],))</f>
        <v>50000</v>
      </c>
      <c r="L284" s="39">
        <f>VLOOKUP(Table1[[#This Row],[Kode_Promo]],Table4[],2,FALSE)</f>
        <v>0</v>
      </c>
      <c r="M284" s="37">
        <f>Table1[[#This Row],[Jumlah_Unit]]*Table1[[#This Row],[Harga_Satuan]]</f>
        <v>8400000</v>
      </c>
      <c r="N284" s="37">
        <f>Table1[[#This Row],[Total_Pendapatan_Kotor]]*Table1[[#This Row],[Persentase_Diskon]]</f>
        <v>0</v>
      </c>
      <c r="O284" s="37">
        <f>Table1[[#This Row],[Total_Pendapatan_Kotor]]-Table1[[#This Row],[Potongan_Diskon]]</f>
        <v>8400000</v>
      </c>
      <c r="P284" s="37">
        <f>(Table1[[#This Row],[Jumlah_Unit]]*Table1[[#This Row],[HPP_Satuan]])+(Table1[[#This Row],[Jumlah_Unit]]*Table1[[#This Row],[Biaya_Kirim_Satuan]])</f>
        <v>5000000</v>
      </c>
      <c r="Q284" s="37">
        <f>Table1[[#This Row],[Total_Pendapatan_Bersih]]-Table1[[#This Row],[Total_Biaya]]</f>
        <v>3400000</v>
      </c>
      <c r="R284" s="5">
        <f>Table1[[#This Row],[Laba_Kotor]]/Table1[[#This Row],[Total_Pendapatan_Bersih]]</f>
        <v>0.40476190476190477</v>
      </c>
    </row>
    <row r="285" spans="1:18" ht="20.25" thickBot="1" x14ac:dyDescent="0.6">
      <c r="A285" s="3" t="s">
        <v>314</v>
      </c>
      <c r="B285" s="21">
        <v>45941</v>
      </c>
      <c r="C285" s="1" t="s">
        <v>31</v>
      </c>
      <c r="D285" s="1" t="s">
        <v>32</v>
      </c>
      <c r="E285" s="2">
        <v>1</v>
      </c>
      <c r="F285" s="1" t="s">
        <v>33</v>
      </c>
      <c r="G285" s="1" t="str">
        <f>INDEX(Table2[Nama Produk],MATCH(Table1[[#This Row],[SKU]],Table2[SKU],0))</f>
        <v>Monitor Ergonomis 27</v>
      </c>
      <c r="H285" s="1" t="str">
        <f>VLOOKUP(Table1[[#This Row],[SKU]],Table2[],3,FALSE)</f>
        <v>Elektronik</v>
      </c>
      <c r="I285" s="37">
        <f>INDEX(Table2[Harga Jual],MATCH(Table1[[#This Row],[SKU]],Table2[SKU],0))</f>
        <v>3400000</v>
      </c>
      <c r="J285" s="37">
        <f>VLOOKUP(Table1[[#This Row],[SKU]],Table2[],4,FALSE)</f>
        <v>2100000</v>
      </c>
      <c r="K285" s="37">
        <f>INDEX(Table3[Biaya Kirim per Unit],MATCH(Table1[[#This Row],[Kota]],Table3[Kota],))</f>
        <v>65000</v>
      </c>
      <c r="L285" s="39">
        <f>VLOOKUP(Table1[[#This Row],[Kode_Promo]],Table4[],2,FALSE)</f>
        <v>0.2</v>
      </c>
      <c r="M285" s="37">
        <f>Table1[[#This Row],[Jumlah_Unit]]*Table1[[#This Row],[Harga_Satuan]]</f>
        <v>3400000</v>
      </c>
      <c r="N285" s="37">
        <f>Table1[[#This Row],[Total_Pendapatan_Kotor]]*Table1[[#This Row],[Persentase_Diskon]]</f>
        <v>680000</v>
      </c>
      <c r="O285" s="37">
        <f>Table1[[#This Row],[Total_Pendapatan_Kotor]]-Table1[[#This Row],[Potongan_Diskon]]</f>
        <v>2720000</v>
      </c>
      <c r="P285" s="37">
        <f>(Table1[[#This Row],[Jumlah_Unit]]*Table1[[#This Row],[HPP_Satuan]])+(Table1[[#This Row],[Jumlah_Unit]]*Table1[[#This Row],[Biaya_Kirim_Satuan]])</f>
        <v>2165000</v>
      </c>
      <c r="Q285" s="37">
        <f>Table1[[#This Row],[Total_Pendapatan_Bersih]]-Table1[[#This Row],[Total_Biaya]]</f>
        <v>555000</v>
      </c>
      <c r="R285" s="5">
        <f>Table1[[#This Row],[Laba_Kotor]]/Table1[[#This Row],[Total_Pendapatan_Bersih]]</f>
        <v>0.20404411764705882</v>
      </c>
    </row>
    <row r="286" spans="1:18" ht="20.25" thickBot="1" x14ac:dyDescent="0.6">
      <c r="A286" s="3" t="s">
        <v>315</v>
      </c>
      <c r="B286" s="21">
        <v>45942</v>
      </c>
      <c r="C286" s="1" t="s">
        <v>19</v>
      </c>
      <c r="D286" s="1" t="s">
        <v>35</v>
      </c>
      <c r="E286" s="2">
        <v>2</v>
      </c>
      <c r="F286" s="1" t="s">
        <v>21</v>
      </c>
      <c r="G286" s="1" t="str">
        <f>INDEX(Table2[Nama Produk],MATCH(Table1[[#This Row],[SKU]],Table2[SKU],0))</f>
        <v>Meja Adjustable</v>
      </c>
      <c r="H286" s="1" t="str">
        <f>VLOOKUP(Table1[[#This Row],[SKU]],Table2[],3,FALSE)</f>
        <v>Furnitur</v>
      </c>
      <c r="I286" s="37">
        <f>INDEX(Table2[Harga Jual],MATCH(Table1[[#This Row],[SKU]],Table2[SKU],0))</f>
        <v>4200000</v>
      </c>
      <c r="J286" s="37">
        <f>VLOOKUP(Table1[[#This Row],[SKU]],Table2[],4,FALSE)</f>
        <v>2400000</v>
      </c>
      <c r="K286" s="37">
        <f>INDEX(Table3[Biaya Kirim per Unit],MATCH(Table1[[#This Row],[Kota]],Table3[Kota],))</f>
        <v>25000</v>
      </c>
      <c r="L286" s="39">
        <f>VLOOKUP(Table1[[#This Row],[Kode_Promo]],Table4[],2,FALSE)</f>
        <v>0.1</v>
      </c>
      <c r="M286" s="37">
        <f>Table1[[#This Row],[Jumlah_Unit]]*Table1[[#This Row],[Harga_Satuan]]</f>
        <v>8400000</v>
      </c>
      <c r="N286" s="37">
        <f>Table1[[#This Row],[Total_Pendapatan_Kotor]]*Table1[[#This Row],[Persentase_Diskon]]</f>
        <v>840000</v>
      </c>
      <c r="O286" s="37">
        <f>Table1[[#This Row],[Total_Pendapatan_Kotor]]-Table1[[#This Row],[Potongan_Diskon]]</f>
        <v>7560000</v>
      </c>
      <c r="P286" s="37">
        <f>(Table1[[#This Row],[Jumlah_Unit]]*Table1[[#This Row],[HPP_Satuan]])+(Table1[[#This Row],[Jumlah_Unit]]*Table1[[#This Row],[Biaya_Kirim_Satuan]])</f>
        <v>4850000</v>
      </c>
      <c r="Q286" s="37">
        <f>Table1[[#This Row],[Total_Pendapatan_Bersih]]-Table1[[#This Row],[Total_Biaya]]</f>
        <v>2710000</v>
      </c>
      <c r="R286" s="5">
        <f>Table1[[#This Row],[Laba_Kotor]]/Table1[[#This Row],[Total_Pendapatan_Bersih]]</f>
        <v>0.35846560846560849</v>
      </c>
    </row>
    <row r="287" spans="1:18" ht="20.25" thickBot="1" x14ac:dyDescent="0.6">
      <c r="A287" s="3" t="s">
        <v>316</v>
      </c>
      <c r="B287" s="21">
        <v>45943</v>
      </c>
      <c r="C287" s="1" t="s">
        <v>23</v>
      </c>
      <c r="D287" s="1" t="s">
        <v>20</v>
      </c>
      <c r="E287" s="2">
        <v>3</v>
      </c>
      <c r="F287" s="1" t="s">
        <v>29</v>
      </c>
      <c r="G287" s="1" t="str">
        <f>INDEX(Table2[Nama Produk],MATCH(Table1[[#This Row],[SKU]],Table2[SKU],0))</f>
        <v>Laptop Pro 14</v>
      </c>
      <c r="H287" s="1" t="str">
        <f>VLOOKUP(Table1[[#This Row],[SKU]],Table2[],3,FALSE)</f>
        <v>Elektronik</v>
      </c>
      <c r="I287" s="37">
        <f>INDEX(Table2[Harga Jual],MATCH(Table1[[#This Row],[SKU]],Table2[SKU],0))</f>
        <v>12000000</v>
      </c>
      <c r="J287" s="37">
        <f>VLOOKUP(Table1[[#This Row],[SKU]],Table2[],4,FALSE)</f>
        <v>8500000</v>
      </c>
      <c r="K287" s="37">
        <f>INDEX(Table3[Biaya Kirim per Unit],MATCH(Table1[[#This Row],[Kota]],Table3[Kota],))</f>
        <v>35000</v>
      </c>
      <c r="L287" s="39">
        <f>VLOOKUP(Table1[[#This Row],[Kode_Promo]],Table4[],2,FALSE)</f>
        <v>0</v>
      </c>
      <c r="M287" s="37">
        <f>Table1[[#This Row],[Jumlah_Unit]]*Table1[[#This Row],[Harga_Satuan]]</f>
        <v>36000000</v>
      </c>
      <c r="N287" s="37">
        <f>Table1[[#This Row],[Total_Pendapatan_Kotor]]*Table1[[#This Row],[Persentase_Diskon]]</f>
        <v>0</v>
      </c>
      <c r="O287" s="37">
        <f>Table1[[#This Row],[Total_Pendapatan_Kotor]]-Table1[[#This Row],[Potongan_Diskon]]</f>
        <v>36000000</v>
      </c>
      <c r="P287" s="37">
        <f>(Table1[[#This Row],[Jumlah_Unit]]*Table1[[#This Row],[HPP_Satuan]])+(Table1[[#This Row],[Jumlah_Unit]]*Table1[[#This Row],[Biaya_Kirim_Satuan]])</f>
        <v>25605000</v>
      </c>
      <c r="Q287" s="37">
        <f>Table1[[#This Row],[Total_Pendapatan_Bersih]]-Table1[[#This Row],[Total_Biaya]]</f>
        <v>10395000</v>
      </c>
      <c r="R287" s="5">
        <f>Table1[[#This Row],[Laba_Kotor]]/Table1[[#This Row],[Total_Pendapatan_Bersih]]</f>
        <v>0.28875000000000001</v>
      </c>
    </row>
    <row r="288" spans="1:18" ht="20.25" thickBot="1" x14ac:dyDescent="0.6">
      <c r="A288" s="3" t="s">
        <v>317</v>
      </c>
      <c r="B288" s="21">
        <v>45944</v>
      </c>
      <c r="C288" s="1" t="s">
        <v>27</v>
      </c>
      <c r="D288" s="1" t="s">
        <v>24</v>
      </c>
      <c r="E288" s="2">
        <v>7</v>
      </c>
      <c r="F288" s="1" t="s">
        <v>25</v>
      </c>
      <c r="G288" s="1" t="str">
        <f>INDEX(Table2[Nama Produk],MATCH(Table1[[#This Row],[SKU]],Table2[SKU],0))</f>
        <v>Mechanical Keyboard</v>
      </c>
      <c r="H288" s="1" t="str">
        <f>VLOOKUP(Table1[[#This Row],[SKU]],Table2[],3,FALSE)</f>
        <v>Aksesori</v>
      </c>
      <c r="I288" s="37">
        <f>INDEX(Table2[Harga Jual],MATCH(Table1[[#This Row],[SKU]],Table2[SKU],0))</f>
        <v>850000</v>
      </c>
      <c r="J288" s="37">
        <f>VLOOKUP(Table1[[#This Row],[SKU]],Table2[],4,FALSE)</f>
        <v>450000</v>
      </c>
      <c r="K288" s="37">
        <f>INDEX(Table3[Biaya Kirim per Unit],MATCH(Table1[[#This Row],[Kota]],Table3[Kota],))</f>
        <v>50000</v>
      </c>
      <c r="L288" s="39">
        <f>VLOOKUP(Table1[[#This Row],[Kode_Promo]],Table4[],2,FALSE)</f>
        <v>0.3</v>
      </c>
      <c r="M288" s="37">
        <f>Table1[[#This Row],[Jumlah_Unit]]*Table1[[#This Row],[Harga_Satuan]]</f>
        <v>5950000</v>
      </c>
      <c r="N288" s="37">
        <f>Table1[[#This Row],[Total_Pendapatan_Kotor]]*Table1[[#This Row],[Persentase_Diskon]]</f>
        <v>1785000</v>
      </c>
      <c r="O288" s="37">
        <f>Table1[[#This Row],[Total_Pendapatan_Kotor]]-Table1[[#This Row],[Potongan_Diskon]]</f>
        <v>4165000</v>
      </c>
      <c r="P288" s="37">
        <f>(Table1[[#This Row],[Jumlah_Unit]]*Table1[[#This Row],[HPP_Satuan]])+(Table1[[#This Row],[Jumlah_Unit]]*Table1[[#This Row],[Biaya_Kirim_Satuan]])</f>
        <v>3500000</v>
      </c>
      <c r="Q288" s="37">
        <f>Table1[[#This Row],[Total_Pendapatan_Bersih]]-Table1[[#This Row],[Total_Biaya]]</f>
        <v>665000</v>
      </c>
      <c r="R288" s="5">
        <f>Table1[[#This Row],[Laba_Kotor]]/Table1[[#This Row],[Total_Pendapatan_Bersih]]</f>
        <v>0.15966386554621848</v>
      </c>
    </row>
    <row r="289" spans="1:18" ht="20.25" thickBot="1" x14ac:dyDescent="0.6">
      <c r="A289" s="3" t="s">
        <v>318</v>
      </c>
      <c r="B289" s="21">
        <v>45945</v>
      </c>
      <c r="C289" s="1" t="s">
        <v>31</v>
      </c>
      <c r="D289" s="1" t="s">
        <v>35</v>
      </c>
      <c r="E289" s="2">
        <v>3</v>
      </c>
      <c r="F289" s="1" t="s">
        <v>33</v>
      </c>
      <c r="G289" s="1" t="str">
        <f>INDEX(Table2[Nama Produk],MATCH(Table1[[#This Row],[SKU]],Table2[SKU],0))</f>
        <v>Meja Adjustable</v>
      </c>
      <c r="H289" s="1" t="str">
        <f>VLOOKUP(Table1[[#This Row],[SKU]],Table2[],3,FALSE)</f>
        <v>Furnitur</v>
      </c>
      <c r="I289" s="37">
        <f>INDEX(Table2[Harga Jual],MATCH(Table1[[#This Row],[SKU]],Table2[SKU],0))</f>
        <v>4200000</v>
      </c>
      <c r="J289" s="37">
        <f>VLOOKUP(Table1[[#This Row],[SKU]],Table2[],4,FALSE)</f>
        <v>2400000</v>
      </c>
      <c r="K289" s="37">
        <f>INDEX(Table3[Biaya Kirim per Unit],MATCH(Table1[[#This Row],[Kota]],Table3[Kota],))</f>
        <v>65000</v>
      </c>
      <c r="L289" s="39">
        <f>VLOOKUP(Table1[[#This Row],[Kode_Promo]],Table4[],2,FALSE)</f>
        <v>0.2</v>
      </c>
      <c r="M289" s="37">
        <f>Table1[[#This Row],[Jumlah_Unit]]*Table1[[#This Row],[Harga_Satuan]]</f>
        <v>12600000</v>
      </c>
      <c r="N289" s="37">
        <f>Table1[[#This Row],[Total_Pendapatan_Kotor]]*Table1[[#This Row],[Persentase_Diskon]]</f>
        <v>2520000</v>
      </c>
      <c r="O289" s="37">
        <f>Table1[[#This Row],[Total_Pendapatan_Kotor]]-Table1[[#This Row],[Potongan_Diskon]]</f>
        <v>10080000</v>
      </c>
      <c r="P289" s="37">
        <f>(Table1[[#This Row],[Jumlah_Unit]]*Table1[[#This Row],[HPP_Satuan]])+(Table1[[#This Row],[Jumlah_Unit]]*Table1[[#This Row],[Biaya_Kirim_Satuan]])</f>
        <v>7395000</v>
      </c>
      <c r="Q289" s="37">
        <f>Table1[[#This Row],[Total_Pendapatan_Bersih]]-Table1[[#This Row],[Total_Biaya]]</f>
        <v>2685000</v>
      </c>
      <c r="R289" s="5">
        <f>Table1[[#This Row],[Laba_Kotor]]/Table1[[#This Row],[Total_Pendapatan_Bersih]]</f>
        <v>0.26636904761904762</v>
      </c>
    </row>
    <row r="290" spans="1:18" ht="20.25" thickBot="1" x14ac:dyDescent="0.6">
      <c r="A290" s="3" t="s">
        <v>319</v>
      </c>
      <c r="B290" s="21">
        <v>45946</v>
      </c>
      <c r="C290" s="1" t="s">
        <v>19</v>
      </c>
      <c r="D290" s="1" t="s">
        <v>32</v>
      </c>
      <c r="E290" s="2">
        <v>2</v>
      </c>
      <c r="F290" s="1" t="s">
        <v>21</v>
      </c>
      <c r="G290" s="1" t="str">
        <f>INDEX(Table2[Nama Produk],MATCH(Table1[[#This Row],[SKU]],Table2[SKU],0))</f>
        <v>Monitor Ergonomis 27</v>
      </c>
      <c r="H290" s="1" t="str">
        <f>VLOOKUP(Table1[[#This Row],[SKU]],Table2[],3,FALSE)</f>
        <v>Elektronik</v>
      </c>
      <c r="I290" s="37">
        <f>INDEX(Table2[Harga Jual],MATCH(Table1[[#This Row],[SKU]],Table2[SKU],0))</f>
        <v>3400000</v>
      </c>
      <c r="J290" s="37">
        <f>VLOOKUP(Table1[[#This Row],[SKU]],Table2[],4,FALSE)</f>
        <v>2100000</v>
      </c>
      <c r="K290" s="37">
        <f>INDEX(Table3[Biaya Kirim per Unit],MATCH(Table1[[#This Row],[Kota]],Table3[Kota],))</f>
        <v>25000</v>
      </c>
      <c r="L290" s="39">
        <f>VLOOKUP(Table1[[#This Row],[Kode_Promo]],Table4[],2,FALSE)</f>
        <v>0.1</v>
      </c>
      <c r="M290" s="37">
        <f>Table1[[#This Row],[Jumlah_Unit]]*Table1[[#This Row],[Harga_Satuan]]</f>
        <v>6800000</v>
      </c>
      <c r="N290" s="37">
        <f>Table1[[#This Row],[Total_Pendapatan_Kotor]]*Table1[[#This Row],[Persentase_Diskon]]</f>
        <v>680000</v>
      </c>
      <c r="O290" s="37">
        <f>Table1[[#This Row],[Total_Pendapatan_Kotor]]-Table1[[#This Row],[Potongan_Diskon]]</f>
        <v>6120000</v>
      </c>
      <c r="P290" s="37">
        <f>(Table1[[#This Row],[Jumlah_Unit]]*Table1[[#This Row],[HPP_Satuan]])+(Table1[[#This Row],[Jumlah_Unit]]*Table1[[#This Row],[Biaya_Kirim_Satuan]])</f>
        <v>4250000</v>
      </c>
      <c r="Q290" s="37">
        <f>Table1[[#This Row],[Total_Pendapatan_Bersih]]-Table1[[#This Row],[Total_Biaya]]</f>
        <v>1870000</v>
      </c>
      <c r="R290" s="5">
        <f>Table1[[#This Row],[Laba_Kotor]]/Table1[[#This Row],[Total_Pendapatan_Bersih]]</f>
        <v>0.30555555555555558</v>
      </c>
    </row>
    <row r="291" spans="1:18" ht="20.25" thickBot="1" x14ac:dyDescent="0.6">
      <c r="A291" s="3" t="s">
        <v>320</v>
      </c>
      <c r="B291" s="21">
        <v>45947</v>
      </c>
      <c r="C291" s="1" t="s">
        <v>23</v>
      </c>
      <c r="D291" s="1" t="s">
        <v>28</v>
      </c>
      <c r="E291" s="2">
        <v>4</v>
      </c>
      <c r="F291" s="1" t="s">
        <v>25</v>
      </c>
      <c r="G291" s="1" t="str">
        <f>INDEX(Table2[Nama Produk],MATCH(Table1[[#This Row],[SKU]],Table2[SKU],0))</f>
        <v>Kursi Kerja Ergonomis</v>
      </c>
      <c r="H291" s="1" t="str">
        <f>VLOOKUP(Table1[[#This Row],[SKU]],Table2[],3,FALSE)</f>
        <v>Furnitur</v>
      </c>
      <c r="I291" s="37">
        <f>INDEX(Table2[Harga Jual],MATCH(Table1[[#This Row],[SKU]],Table2[SKU],0))</f>
        <v>2100000</v>
      </c>
      <c r="J291" s="37">
        <f>VLOOKUP(Table1[[#This Row],[SKU]],Table2[],4,FALSE)</f>
        <v>1200000</v>
      </c>
      <c r="K291" s="37">
        <f>INDEX(Table3[Biaya Kirim per Unit],MATCH(Table1[[#This Row],[Kota]],Table3[Kota],))</f>
        <v>35000</v>
      </c>
      <c r="L291" s="39">
        <f>VLOOKUP(Table1[[#This Row],[Kode_Promo]],Table4[],2,FALSE)</f>
        <v>0.3</v>
      </c>
      <c r="M291" s="37">
        <f>Table1[[#This Row],[Jumlah_Unit]]*Table1[[#This Row],[Harga_Satuan]]</f>
        <v>8400000</v>
      </c>
      <c r="N291" s="37">
        <f>Table1[[#This Row],[Total_Pendapatan_Kotor]]*Table1[[#This Row],[Persentase_Diskon]]</f>
        <v>2520000</v>
      </c>
      <c r="O291" s="37">
        <f>Table1[[#This Row],[Total_Pendapatan_Kotor]]-Table1[[#This Row],[Potongan_Diskon]]</f>
        <v>5880000</v>
      </c>
      <c r="P291" s="37">
        <f>(Table1[[#This Row],[Jumlah_Unit]]*Table1[[#This Row],[HPP_Satuan]])+(Table1[[#This Row],[Jumlah_Unit]]*Table1[[#This Row],[Biaya_Kirim_Satuan]])</f>
        <v>4940000</v>
      </c>
      <c r="Q291" s="37">
        <f>Table1[[#This Row],[Total_Pendapatan_Bersih]]-Table1[[#This Row],[Total_Biaya]]</f>
        <v>940000</v>
      </c>
      <c r="R291" s="5">
        <f>Table1[[#This Row],[Laba_Kotor]]/Table1[[#This Row],[Total_Pendapatan_Bersih]]</f>
        <v>0.1598639455782313</v>
      </c>
    </row>
    <row r="292" spans="1:18" ht="20.25" thickBot="1" x14ac:dyDescent="0.6">
      <c r="A292" s="3" t="s">
        <v>321</v>
      </c>
      <c r="B292" s="21">
        <v>45948</v>
      </c>
      <c r="C292" s="1" t="s">
        <v>27</v>
      </c>
      <c r="D292" s="1" t="s">
        <v>20</v>
      </c>
      <c r="E292" s="2">
        <v>1</v>
      </c>
      <c r="F292" s="1" t="s">
        <v>29</v>
      </c>
      <c r="G292" s="1" t="str">
        <f>INDEX(Table2[Nama Produk],MATCH(Table1[[#This Row],[SKU]],Table2[SKU],0))</f>
        <v>Laptop Pro 14</v>
      </c>
      <c r="H292" s="1" t="str">
        <f>VLOOKUP(Table1[[#This Row],[SKU]],Table2[],3,FALSE)</f>
        <v>Elektronik</v>
      </c>
      <c r="I292" s="37">
        <f>INDEX(Table2[Harga Jual],MATCH(Table1[[#This Row],[SKU]],Table2[SKU],0))</f>
        <v>12000000</v>
      </c>
      <c r="J292" s="37">
        <f>VLOOKUP(Table1[[#This Row],[SKU]],Table2[],4,FALSE)</f>
        <v>8500000</v>
      </c>
      <c r="K292" s="37">
        <f>INDEX(Table3[Biaya Kirim per Unit],MATCH(Table1[[#This Row],[Kota]],Table3[Kota],))</f>
        <v>50000</v>
      </c>
      <c r="L292" s="39">
        <f>VLOOKUP(Table1[[#This Row],[Kode_Promo]],Table4[],2,FALSE)</f>
        <v>0</v>
      </c>
      <c r="M292" s="37">
        <f>Table1[[#This Row],[Jumlah_Unit]]*Table1[[#This Row],[Harga_Satuan]]</f>
        <v>12000000</v>
      </c>
      <c r="N292" s="37">
        <f>Table1[[#This Row],[Total_Pendapatan_Kotor]]*Table1[[#This Row],[Persentase_Diskon]]</f>
        <v>0</v>
      </c>
      <c r="O292" s="37">
        <f>Table1[[#This Row],[Total_Pendapatan_Kotor]]-Table1[[#This Row],[Potongan_Diskon]]</f>
        <v>12000000</v>
      </c>
      <c r="P292" s="37">
        <f>(Table1[[#This Row],[Jumlah_Unit]]*Table1[[#This Row],[HPP_Satuan]])+(Table1[[#This Row],[Jumlah_Unit]]*Table1[[#This Row],[Biaya_Kirim_Satuan]])</f>
        <v>8550000</v>
      </c>
      <c r="Q292" s="37">
        <f>Table1[[#This Row],[Total_Pendapatan_Bersih]]-Table1[[#This Row],[Total_Biaya]]</f>
        <v>3450000</v>
      </c>
      <c r="R292" s="5">
        <f>Table1[[#This Row],[Laba_Kotor]]/Table1[[#This Row],[Total_Pendapatan_Bersih]]</f>
        <v>0.28749999999999998</v>
      </c>
    </row>
    <row r="293" spans="1:18" ht="20.25" thickBot="1" x14ac:dyDescent="0.6">
      <c r="A293" s="3" t="s">
        <v>322</v>
      </c>
      <c r="B293" s="21">
        <v>45949</v>
      </c>
      <c r="C293" s="1" t="s">
        <v>31</v>
      </c>
      <c r="D293" s="1" t="s">
        <v>24</v>
      </c>
      <c r="E293" s="2">
        <v>6</v>
      </c>
      <c r="F293" s="1" t="s">
        <v>33</v>
      </c>
      <c r="G293" s="1" t="str">
        <f>INDEX(Table2[Nama Produk],MATCH(Table1[[#This Row],[SKU]],Table2[SKU],0))</f>
        <v>Mechanical Keyboard</v>
      </c>
      <c r="H293" s="1" t="str">
        <f>VLOOKUP(Table1[[#This Row],[SKU]],Table2[],3,FALSE)</f>
        <v>Aksesori</v>
      </c>
      <c r="I293" s="37">
        <f>INDEX(Table2[Harga Jual],MATCH(Table1[[#This Row],[SKU]],Table2[SKU],0))</f>
        <v>850000</v>
      </c>
      <c r="J293" s="37">
        <f>VLOOKUP(Table1[[#This Row],[SKU]],Table2[],4,FALSE)</f>
        <v>450000</v>
      </c>
      <c r="K293" s="37">
        <f>INDEX(Table3[Biaya Kirim per Unit],MATCH(Table1[[#This Row],[Kota]],Table3[Kota],))</f>
        <v>65000</v>
      </c>
      <c r="L293" s="39">
        <f>VLOOKUP(Table1[[#This Row],[Kode_Promo]],Table4[],2,FALSE)</f>
        <v>0.2</v>
      </c>
      <c r="M293" s="37">
        <f>Table1[[#This Row],[Jumlah_Unit]]*Table1[[#This Row],[Harga_Satuan]]</f>
        <v>5100000</v>
      </c>
      <c r="N293" s="37">
        <f>Table1[[#This Row],[Total_Pendapatan_Kotor]]*Table1[[#This Row],[Persentase_Diskon]]</f>
        <v>1020000</v>
      </c>
      <c r="O293" s="37">
        <f>Table1[[#This Row],[Total_Pendapatan_Kotor]]-Table1[[#This Row],[Potongan_Diskon]]</f>
        <v>4080000</v>
      </c>
      <c r="P293" s="37">
        <f>(Table1[[#This Row],[Jumlah_Unit]]*Table1[[#This Row],[HPP_Satuan]])+(Table1[[#This Row],[Jumlah_Unit]]*Table1[[#This Row],[Biaya_Kirim_Satuan]])</f>
        <v>3090000</v>
      </c>
      <c r="Q293" s="37">
        <f>Table1[[#This Row],[Total_Pendapatan_Bersih]]-Table1[[#This Row],[Total_Biaya]]</f>
        <v>990000</v>
      </c>
      <c r="R293" s="5">
        <f>Table1[[#This Row],[Laba_Kotor]]/Table1[[#This Row],[Total_Pendapatan_Bersih]]</f>
        <v>0.24264705882352941</v>
      </c>
    </row>
    <row r="294" spans="1:18" ht="20.25" thickBot="1" x14ac:dyDescent="0.6">
      <c r="A294" s="3" t="s">
        <v>323</v>
      </c>
      <c r="B294" s="21">
        <v>45950</v>
      </c>
      <c r="C294" s="1" t="s">
        <v>19</v>
      </c>
      <c r="D294" s="1" t="s">
        <v>28</v>
      </c>
      <c r="E294" s="2">
        <v>2</v>
      </c>
      <c r="F294" s="1" t="s">
        <v>21</v>
      </c>
      <c r="G294" s="1" t="str">
        <f>INDEX(Table2[Nama Produk],MATCH(Table1[[#This Row],[SKU]],Table2[SKU],0))</f>
        <v>Kursi Kerja Ergonomis</v>
      </c>
      <c r="H294" s="1" t="str">
        <f>VLOOKUP(Table1[[#This Row],[SKU]],Table2[],3,FALSE)</f>
        <v>Furnitur</v>
      </c>
      <c r="I294" s="37">
        <f>INDEX(Table2[Harga Jual],MATCH(Table1[[#This Row],[SKU]],Table2[SKU],0))</f>
        <v>2100000</v>
      </c>
      <c r="J294" s="37">
        <f>VLOOKUP(Table1[[#This Row],[SKU]],Table2[],4,FALSE)</f>
        <v>1200000</v>
      </c>
      <c r="K294" s="37">
        <f>INDEX(Table3[Biaya Kirim per Unit],MATCH(Table1[[#This Row],[Kota]],Table3[Kota],))</f>
        <v>25000</v>
      </c>
      <c r="L294" s="39">
        <f>VLOOKUP(Table1[[#This Row],[Kode_Promo]],Table4[],2,FALSE)</f>
        <v>0.1</v>
      </c>
      <c r="M294" s="37">
        <f>Table1[[#This Row],[Jumlah_Unit]]*Table1[[#This Row],[Harga_Satuan]]</f>
        <v>4200000</v>
      </c>
      <c r="N294" s="37">
        <f>Table1[[#This Row],[Total_Pendapatan_Kotor]]*Table1[[#This Row],[Persentase_Diskon]]</f>
        <v>420000</v>
      </c>
      <c r="O294" s="37">
        <f>Table1[[#This Row],[Total_Pendapatan_Kotor]]-Table1[[#This Row],[Potongan_Diskon]]</f>
        <v>3780000</v>
      </c>
      <c r="P294" s="37">
        <f>(Table1[[#This Row],[Jumlah_Unit]]*Table1[[#This Row],[HPP_Satuan]])+(Table1[[#This Row],[Jumlah_Unit]]*Table1[[#This Row],[Biaya_Kirim_Satuan]])</f>
        <v>2450000</v>
      </c>
      <c r="Q294" s="37">
        <f>Table1[[#This Row],[Total_Pendapatan_Bersih]]-Table1[[#This Row],[Total_Biaya]]</f>
        <v>1330000</v>
      </c>
      <c r="R294" s="5">
        <f>Table1[[#This Row],[Laba_Kotor]]/Table1[[#This Row],[Total_Pendapatan_Bersih]]</f>
        <v>0.35185185185185186</v>
      </c>
    </row>
    <row r="295" spans="1:18" ht="20.25" thickBot="1" x14ac:dyDescent="0.6">
      <c r="A295" s="3" t="s">
        <v>324</v>
      </c>
      <c r="B295" s="21">
        <v>45951</v>
      </c>
      <c r="C295" s="1" t="s">
        <v>23</v>
      </c>
      <c r="D295" s="1" t="s">
        <v>32</v>
      </c>
      <c r="E295" s="2">
        <v>5</v>
      </c>
      <c r="F295" s="1" t="s">
        <v>25</v>
      </c>
      <c r="G295" s="1" t="str">
        <f>INDEX(Table2[Nama Produk],MATCH(Table1[[#This Row],[SKU]],Table2[SKU],0))</f>
        <v>Monitor Ergonomis 27</v>
      </c>
      <c r="H295" s="1" t="str">
        <f>VLOOKUP(Table1[[#This Row],[SKU]],Table2[],3,FALSE)</f>
        <v>Elektronik</v>
      </c>
      <c r="I295" s="37">
        <f>INDEX(Table2[Harga Jual],MATCH(Table1[[#This Row],[SKU]],Table2[SKU],0))</f>
        <v>3400000</v>
      </c>
      <c r="J295" s="37">
        <f>VLOOKUP(Table1[[#This Row],[SKU]],Table2[],4,FALSE)</f>
        <v>2100000</v>
      </c>
      <c r="K295" s="37">
        <f>INDEX(Table3[Biaya Kirim per Unit],MATCH(Table1[[#This Row],[Kota]],Table3[Kota],))</f>
        <v>35000</v>
      </c>
      <c r="L295" s="39">
        <f>VLOOKUP(Table1[[#This Row],[Kode_Promo]],Table4[],2,FALSE)</f>
        <v>0.3</v>
      </c>
      <c r="M295" s="37">
        <f>Table1[[#This Row],[Jumlah_Unit]]*Table1[[#This Row],[Harga_Satuan]]</f>
        <v>17000000</v>
      </c>
      <c r="N295" s="37">
        <f>Table1[[#This Row],[Total_Pendapatan_Kotor]]*Table1[[#This Row],[Persentase_Diskon]]</f>
        <v>5100000</v>
      </c>
      <c r="O295" s="37">
        <f>Table1[[#This Row],[Total_Pendapatan_Kotor]]-Table1[[#This Row],[Potongan_Diskon]]</f>
        <v>11900000</v>
      </c>
      <c r="P295" s="37">
        <f>(Table1[[#This Row],[Jumlah_Unit]]*Table1[[#This Row],[HPP_Satuan]])+(Table1[[#This Row],[Jumlah_Unit]]*Table1[[#This Row],[Biaya_Kirim_Satuan]])</f>
        <v>10675000</v>
      </c>
      <c r="Q295" s="37">
        <f>Table1[[#This Row],[Total_Pendapatan_Bersih]]-Table1[[#This Row],[Total_Biaya]]</f>
        <v>1225000</v>
      </c>
      <c r="R295" s="5">
        <f>Table1[[#This Row],[Laba_Kotor]]/Table1[[#This Row],[Total_Pendapatan_Bersih]]</f>
        <v>0.10294117647058823</v>
      </c>
    </row>
    <row r="296" spans="1:18" ht="20.25" thickBot="1" x14ac:dyDescent="0.6">
      <c r="A296" s="3" t="s">
        <v>325</v>
      </c>
      <c r="B296" s="21">
        <v>45952</v>
      </c>
      <c r="C296" s="1" t="s">
        <v>27</v>
      </c>
      <c r="D296" s="1" t="s">
        <v>35</v>
      </c>
      <c r="E296" s="2">
        <v>3</v>
      </c>
      <c r="F296" s="1" t="s">
        <v>29</v>
      </c>
      <c r="G296" s="1" t="str">
        <f>INDEX(Table2[Nama Produk],MATCH(Table1[[#This Row],[SKU]],Table2[SKU],0))</f>
        <v>Meja Adjustable</v>
      </c>
      <c r="H296" s="1" t="str">
        <f>VLOOKUP(Table1[[#This Row],[SKU]],Table2[],3,FALSE)</f>
        <v>Furnitur</v>
      </c>
      <c r="I296" s="37">
        <f>INDEX(Table2[Harga Jual],MATCH(Table1[[#This Row],[SKU]],Table2[SKU],0))</f>
        <v>4200000</v>
      </c>
      <c r="J296" s="37">
        <f>VLOOKUP(Table1[[#This Row],[SKU]],Table2[],4,FALSE)</f>
        <v>2400000</v>
      </c>
      <c r="K296" s="37">
        <f>INDEX(Table3[Biaya Kirim per Unit],MATCH(Table1[[#This Row],[Kota]],Table3[Kota],))</f>
        <v>50000</v>
      </c>
      <c r="L296" s="39">
        <f>VLOOKUP(Table1[[#This Row],[Kode_Promo]],Table4[],2,FALSE)</f>
        <v>0</v>
      </c>
      <c r="M296" s="37">
        <f>Table1[[#This Row],[Jumlah_Unit]]*Table1[[#This Row],[Harga_Satuan]]</f>
        <v>12600000</v>
      </c>
      <c r="N296" s="37">
        <f>Table1[[#This Row],[Total_Pendapatan_Kotor]]*Table1[[#This Row],[Persentase_Diskon]]</f>
        <v>0</v>
      </c>
      <c r="O296" s="37">
        <f>Table1[[#This Row],[Total_Pendapatan_Kotor]]-Table1[[#This Row],[Potongan_Diskon]]</f>
        <v>12600000</v>
      </c>
      <c r="P296" s="37">
        <f>(Table1[[#This Row],[Jumlah_Unit]]*Table1[[#This Row],[HPP_Satuan]])+(Table1[[#This Row],[Jumlah_Unit]]*Table1[[#This Row],[Biaya_Kirim_Satuan]])</f>
        <v>7350000</v>
      </c>
      <c r="Q296" s="37">
        <f>Table1[[#This Row],[Total_Pendapatan_Bersih]]-Table1[[#This Row],[Total_Biaya]]</f>
        <v>5250000</v>
      </c>
      <c r="R296" s="5">
        <f>Table1[[#This Row],[Laba_Kotor]]/Table1[[#This Row],[Total_Pendapatan_Bersih]]</f>
        <v>0.41666666666666669</v>
      </c>
    </row>
    <row r="297" spans="1:18" ht="20.25" thickBot="1" x14ac:dyDescent="0.6">
      <c r="A297" s="3" t="s">
        <v>326</v>
      </c>
      <c r="B297" s="21">
        <v>45953</v>
      </c>
      <c r="C297" s="1" t="s">
        <v>31</v>
      </c>
      <c r="D297" s="1" t="s">
        <v>20</v>
      </c>
      <c r="E297" s="2">
        <v>1</v>
      </c>
      <c r="F297" s="1" t="s">
        <v>33</v>
      </c>
      <c r="G297" s="1" t="str">
        <f>INDEX(Table2[Nama Produk],MATCH(Table1[[#This Row],[SKU]],Table2[SKU],0))</f>
        <v>Laptop Pro 14</v>
      </c>
      <c r="H297" s="1" t="str">
        <f>VLOOKUP(Table1[[#This Row],[SKU]],Table2[],3,FALSE)</f>
        <v>Elektronik</v>
      </c>
      <c r="I297" s="37">
        <f>INDEX(Table2[Harga Jual],MATCH(Table1[[#This Row],[SKU]],Table2[SKU],0))</f>
        <v>12000000</v>
      </c>
      <c r="J297" s="37">
        <f>VLOOKUP(Table1[[#This Row],[SKU]],Table2[],4,FALSE)</f>
        <v>8500000</v>
      </c>
      <c r="K297" s="37">
        <f>INDEX(Table3[Biaya Kirim per Unit],MATCH(Table1[[#This Row],[Kota]],Table3[Kota],))</f>
        <v>65000</v>
      </c>
      <c r="L297" s="39">
        <f>VLOOKUP(Table1[[#This Row],[Kode_Promo]],Table4[],2,FALSE)</f>
        <v>0.2</v>
      </c>
      <c r="M297" s="37">
        <f>Table1[[#This Row],[Jumlah_Unit]]*Table1[[#This Row],[Harga_Satuan]]</f>
        <v>12000000</v>
      </c>
      <c r="N297" s="37">
        <f>Table1[[#This Row],[Total_Pendapatan_Kotor]]*Table1[[#This Row],[Persentase_Diskon]]</f>
        <v>2400000</v>
      </c>
      <c r="O297" s="37">
        <f>Table1[[#This Row],[Total_Pendapatan_Kotor]]-Table1[[#This Row],[Potongan_Diskon]]</f>
        <v>9600000</v>
      </c>
      <c r="P297" s="37">
        <f>(Table1[[#This Row],[Jumlah_Unit]]*Table1[[#This Row],[HPP_Satuan]])+(Table1[[#This Row],[Jumlah_Unit]]*Table1[[#This Row],[Biaya_Kirim_Satuan]])</f>
        <v>8565000</v>
      </c>
      <c r="Q297" s="37">
        <f>Table1[[#This Row],[Total_Pendapatan_Bersih]]-Table1[[#This Row],[Total_Biaya]]</f>
        <v>1035000</v>
      </c>
      <c r="R297" s="5">
        <f>Table1[[#This Row],[Laba_Kotor]]/Table1[[#This Row],[Total_Pendapatan_Bersih]]</f>
        <v>0.10781250000000001</v>
      </c>
    </row>
    <row r="298" spans="1:18" ht="20.25" thickBot="1" x14ac:dyDescent="0.6">
      <c r="A298" s="3" t="s">
        <v>327</v>
      </c>
      <c r="B298" s="21">
        <v>45954</v>
      </c>
      <c r="C298" s="1" t="s">
        <v>19</v>
      </c>
      <c r="D298" s="1" t="s">
        <v>24</v>
      </c>
      <c r="E298" s="2">
        <v>8</v>
      </c>
      <c r="F298" s="1" t="s">
        <v>21</v>
      </c>
      <c r="G298" s="1" t="str">
        <f>INDEX(Table2[Nama Produk],MATCH(Table1[[#This Row],[SKU]],Table2[SKU],0))</f>
        <v>Mechanical Keyboard</v>
      </c>
      <c r="H298" s="1" t="str">
        <f>VLOOKUP(Table1[[#This Row],[SKU]],Table2[],3,FALSE)</f>
        <v>Aksesori</v>
      </c>
      <c r="I298" s="37">
        <f>INDEX(Table2[Harga Jual],MATCH(Table1[[#This Row],[SKU]],Table2[SKU],0))</f>
        <v>850000</v>
      </c>
      <c r="J298" s="37">
        <f>VLOOKUP(Table1[[#This Row],[SKU]],Table2[],4,FALSE)</f>
        <v>450000</v>
      </c>
      <c r="K298" s="37">
        <f>INDEX(Table3[Biaya Kirim per Unit],MATCH(Table1[[#This Row],[Kota]],Table3[Kota],))</f>
        <v>25000</v>
      </c>
      <c r="L298" s="39">
        <f>VLOOKUP(Table1[[#This Row],[Kode_Promo]],Table4[],2,FALSE)</f>
        <v>0.1</v>
      </c>
      <c r="M298" s="37">
        <f>Table1[[#This Row],[Jumlah_Unit]]*Table1[[#This Row],[Harga_Satuan]]</f>
        <v>6800000</v>
      </c>
      <c r="N298" s="37">
        <f>Table1[[#This Row],[Total_Pendapatan_Kotor]]*Table1[[#This Row],[Persentase_Diskon]]</f>
        <v>680000</v>
      </c>
      <c r="O298" s="37">
        <f>Table1[[#This Row],[Total_Pendapatan_Kotor]]-Table1[[#This Row],[Potongan_Diskon]]</f>
        <v>6120000</v>
      </c>
      <c r="P298" s="37">
        <f>(Table1[[#This Row],[Jumlah_Unit]]*Table1[[#This Row],[HPP_Satuan]])+(Table1[[#This Row],[Jumlah_Unit]]*Table1[[#This Row],[Biaya_Kirim_Satuan]])</f>
        <v>3800000</v>
      </c>
      <c r="Q298" s="37">
        <f>Table1[[#This Row],[Total_Pendapatan_Bersih]]-Table1[[#This Row],[Total_Biaya]]</f>
        <v>2320000</v>
      </c>
      <c r="R298" s="5">
        <f>Table1[[#This Row],[Laba_Kotor]]/Table1[[#This Row],[Total_Pendapatan_Bersih]]</f>
        <v>0.37908496732026142</v>
      </c>
    </row>
    <row r="299" spans="1:18" ht="20.25" thickBot="1" x14ac:dyDescent="0.6">
      <c r="A299" s="3" t="s">
        <v>328</v>
      </c>
      <c r="B299" s="21">
        <v>45955</v>
      </c>
      <c r="C299" s="1" t="s">
        <v>23</v>
      </c>
      <c r="D299" s="1" t="s">
        <v>35</v>
      </c>
      <c r="E299" s="2">
        <v>2</v>
      </c>
      <c r="F299" s="1" t="s">
        <v>25</v>
      </c>
      <c r="G299" s="1" t="str">
        <f>INDEX(Table2[Nama Produk],MATCH(Table1[[#This Row],[SKU]],Table2[SKU],0))</f>
        <v>Meja Adjustable</v>
      </c>
      <c r="H299" s="1" t="str">
        <f>VLOOKUP(Table1[[#This Row],[SKU]],Table2[],3,FALSE)</f>
        <v>Furnitur</v>
      </c>
      <c r="I299" s="37">
        <f>INDEX(Table2[Harga Jual],MATCH(Table1[[#This Row],[SKU]],Table2[SKU],0))</f>
        <v>4200000</v>
      </c>
      <c r="J299" s="37">
        <f>VLOOKUP(Table1[[#This Row],[SKU]],Table2[],4,FALSE)</f>
        <v>2400000</v>
      </c>
      <c r="K299" s="37">
        <f>INDEX(Table3[Biaya Kirim per Unit],MATCH(Table1[[#This Row],[Kota]],Table3[Kota],))</f>
        <v>35000</v>
      </c>
      <c r="L299" s="39">
        <f>VLOOKUP(Table1[[#This Row],[Kode_Promo]],Table4[],2,FALSE)</f>
        <v>0.3</v>
      </c>
      <c r="M299" s="37">
        <f>Table1[[#This Row],[Jumlah_Unit]]*Table1[[#This Row],[Harga_Satuan]]</f>
        <v>8400000</v>
      </c>
      <c r="N299" s="37">
        <f>Table1[[#This Row],[Total_Pendapatan_Kotor]]*Table1[[#This Row],[Persentase_Diskon]]</f>
        <v>2520000</v>
      </c>
      <c r="O299" s="37">
        <f>Table1[[#This Row],[Total_Pendapatan_Kotor]]-Table1[[#This Row],[Potongan_Diskon]]</f>
        <v>5880000</v>
      </c>
      <c r="P299" s="37">
        <f>(Table1[[#This Row],[Jumlah_Unit]]*Table1[[#This Row],[HPP_Satuan]])+(Table1[[#This Row],[Jumlah_Unit]]*Table1[[#This Row],[Biaya_Kirim_Satuan]])</f>
        <v>4870000</v>
      </c>
      <c r="Q299" s="37">
        <f>Table1[[#This Row],[Total_Pendapatan_Bersih]]-Table1[[#This Row],[Total_Biaya]]</f>
        <v>1010000</v>
      </c>
      <c r="R299" s="5">
        <f>Table1[[#This Row],[Laba_Kotor]]/Table1[[#This Row],[Total_Pendapatan_Bersih]]</f>
        <v>0.17176870748299319</v>
      </c>
    </row>
    <row r="300" spans="1:18" ht="20.25" thickBot="1" x14ac:dyDescent="0.6">
      <c r="A300" s="3" t="s">
        <v>329</v>
      </c>
      <c r="B300" s="21">
        <v>45956</v>
      </c>
      <c r="C300" s="1" t="s">
        <v>27</v>
      </c>
      <c r="D300" s="1" t="s">
        <v>32</v>
      </c>
      <c r="E300" s="2">
        <v>4</v>
      </c>
      <c r="F300" s="1" t="s">
        <v>29</v>
      </c>
      <c r="G300" s="1" t="str">
        <f>INDEX(Table2[Nama Produk],MATCH(Table1[[#This Row],[SKU]],Table2[SKU],0))</f>
        <v>Monitor Ergonomis 27</v>
      </c>
      <c r="H300" s="1" t="str">
        <f>VLOOKUP(Table1[[#This Row],[SKU]],Table2[],3,FALSE)</f>
        <v>Elektronik</v>
      </c>
      <c r="I300" s="37">
        <f>INDEX(Table2[Harga Jual],MATCH(Table1[[#This Row],[SKU]],Table2[SKU],0))</f>
        <v>3400000</v>
      </c>
      <c r="J300" s="37">
        <f>VLOOKUP(Table1[[#This Row],[SKU]],Table2[],4,FALSE)</f>
        <v>2100000</v>
      </c>
      <c r="K300" s="37">
        <f>INDEX(Table3[Biaya Kirim per Unit],MATCH(Table1[[#This Row],[Kota]],Table3[Kota],))</f>
        <v>50000</v>
      </c>
      <c r="L300" s="39">
        <f>VLOOKUP(Table1[[#This Row],[Kode_Promo]],Table4[],2,FALSE)</f>
        <v>0</v>
      </c>
      <c r="M300" s="37">
        <f>Table1[[#This Row],[Jumlah_Unit]]*Table1[[#This Row],[Harga_Satuan]]</f>
        <v>13600000</v>
      </c>
      <c r="N300" s="37">
        <f>Table1[[#This Row],[Total_Pendapatan_Kotor]]*Table1[[#This Row],[Persentase_Diskon]]</f>
        <v>0</v>
      </c>
      <c r="O300" s="37">
        <f>Table1[[#This Row],[Total_Pendapatan_Kotor]]-Table1[[#This Row],[Potongan_Diskon]]</f>
        <v>13600000</v>
      </c>
      <c r="P300" s="37">
        <f>(Table1[[#This Row],[Jumlah_Unit]]*Table1[[#This Row],[HPP_Satuan]])+(Table1[[#This Row],[Jumlah_Unit]]*Table1[[#This Row],[Biaya_Kirim_Satuan]])</f>
        <v>8600000</v>
      </c>
      <c r="Q300" s="37">
        <f>Table1[[#This Row],[Total_Pendapatan_Bersih]]-Table1[[#This Row],[Total_Biaya]]</f>
        <v>5000000</v>
      </c>
      <c r="R300" s="5">
        <f>Table1[[#This Row],[Laba_Kotor]]/Table1[[#This Row],[Total_Pendapatan_Bersih]]</f>
        <v>0.36764705882352944</v>
      </c>
    </row>
    <row r="301" spans="1:18" ht="20.25" thickBot="1" x14ac:dyDescent="0.6">
      <c r="A301" s="3" t="s">
        <v>330</v>
      </c>
      <c r="B301" s="21">
        <v>45957</v>
      </c>
      <c r="C301" s="1" t="s">
        <v>31</v>
      </c>
      <c r="D301" s="1" t="s">
        <v>28</v>
      </c>
      <c r="E301" s="2">
        <v>1</v>
      </c>
      <c r="F301" s="1" t="s">
        <v>33</v>
      </c>
      <c r="G301" s="1" t="str">
        <f>INDEX(Table2[Nama Produk],MATCH(Table1[[#This Row],[SKU]],Table2[SKU],0))</f>
        <v>Kursi Kerja Ergonomis</v>
      </c>
      <c r="H301" s="1" t="str">
        <f>VLOOKUP(Table1[[#This Row],[SKU]],Table2[],3,FALSE)</f>
        <v>Furnitur</v>
      </c>
      <c r="I301" s="37">
        <f>INDEX(Table2[Harga Jual],MATCH(Table1[[#This Row],[SKU]],Table2[SKU],0))</f>
        <v>2100000</v>
      </c>
      <c r="J301" s="37">
        <f>VLOOKUP(Table1[[#This Row],[SKU]],Table2[],4,FALSE)</f>
        <v>1200000</v>
      </c>
      <c r="K301" s="37">
        <f>INDEX(Table3[Biaya Kirim per Unit],MATCH(Table1[[#This Row],[Kota]],Table3[Kota],))</f>
        <v>65000</v>
      </c>
      <c r="L301" s="39">
        <f>VLOOKUP(Table1[[#This Row],[Kode_Promo]],Table4[],2,FALSE)</f>
        <v>0.2</v>
      </c>
      <c r="M301" s="37">
        <f>Table1[[#This Row],[Jumlah_Unit]]*Table1[[#This Row],[Harga_Satuan]]</f>
        <v>2100000</v>
      </c>
      <c r="N301" s="37">
        <f>Table1[[#This Row],[Total_Pendapatan_Kotor]]*Table1[[#This Row],[Persentase_Diskon]]</f>
        <v>420000</v>
      </c>
      <c r="O301" s="37">
        <f>Table1[[#This Row],[Total_Pendapatan_Kotor]]-Table1[[#This Row],[Potongan_Diskon]]</f>
        <v>1680000</v>
      </c>
      <c r="P301" s="37">
        <f>(Table1[[#This Row],[Jumlah_Unit]]*Table1[[#This Row],[HPP_Satuan]])+(Table1[[#This Row],[Jumlah_Unit]]*Table1[[#This Row],[Biaya_Kirim_Satuan]])</f>
        <v>1265000</v>
      </c>
      <c r="Q301" s="37">
        <f>Table1[[#This Row],[Total_Pendapatan_Bersih]]-Table1[[#This Row],[Total_Biaya]]</f>
        <v>415000</v>
      </c>
      <c r="R301" s="5">
        <f>Table1[[#This Row],[Laba_Kotor]]/Table1[[#This Row],[Total_Pendapatan_Bersih]]</f>
        <v>0.24702380952380953</v>
      </c>
    </row>
    <row r="302" spans="1:18" ht="20.25" thickBot="1" x14ac:dyDescent="0.6">
      <c r="A302" s="3" t="s">
        <v>331</v>
      </c>
      <c r="B302" s="21">
        <v>45958</v>
      </c>
      <c r="C302" s="1" t="s">
        <v>19</v>
      </c>
      <c r="D302" s="1" t="s">
        <v>20</v>
      </c>
      <c r="E302" s="2">
        <v>3</v>
      </c>
      <c r="F302" s="1" t="s">
        <v>21</v>
      </c>
      <c r="G302" s="1" t="str">
        <f>INDEX(Table2[Nama Produk],MATCH(Table1[[#This Row],[SKU]],Table2[SKU],0))</f>
        <v>Laptop Pro 14</v>
      </c>
      <c r="H302" s="1" t="str">
        <f>VLOOKUP(Table1[[#This Row],[SKU]],Table2[],3,FALSE)</f>
        <v>Elektronik</v>
      </c>
      <c r="I302" s="37">
        <f>INDEX(Table2[Harga Jual],MATCH(Table1[[#This Row],[SKU]],Table2[SKU],0))</f>
        <v>12000000</v>
      </c>
      <c r="J302" s="37">
        <f>VLOOKUP(Table1[[#This Row],[SKU]],Table2[],4,FALSE)</f>
        <v>8500000</v>
      </c>
      <c r="K302" s="37">
        <f>INDEX(Table3[Biaya Kirim per Unit],MATCH(Table1[[#This Row],[Kota]],Table3[Kota],))</f>
        <v>25000</v>
      </c>
      <c r="L302" s="39">
        <f>VLOOKUP(Table1[[#This Row],[Kode_Promo]],Table4[],2,FALSE)</f>
        <v>0.1</v>
      </c>
      <c r="M302" s="37">
        <f>Table1[[#This Row],[Jumlah_Unit]]*Table1[[#This Row],[Harga_Satuan]]</f>
        <v>36000000</v>
      </c>
      <c r="N302" s="37">
        <f>Table1[[#This Row],[Total_Pendapatan_Kotor]]*Table1[[#This Row],[Persentase_Diskon]]</f>
        <v>3600000</v>
      </c>
      <c r="O302" s="37">
        <f>Table1[[#This Row],[Total_Pendapatan_Kotor]]-Table1[[#This Row],[Potongan_Diskon]]</f>
        <v>32400000</v>
      </c>
      <c r="P302" s="37">
        <f>(Table1[[#This Row],[Jumlah_Unit]]*Table1[[#This Row],[HPP_Satuan]])+(Table1[[#This Row],[Jumlah_Unit]]*Table1[[#This Row],[Biaya_Kirim_Satuan]])</f>
        <v>25575000</v>
      </c>
      <c r="Q302" s="37">
        <f>Table1[[#This Row],[Total_Pendapatan_Bersih]]-Table1[[#This Row],[Total_Biaya]]</f>
        <v>6825000</v>
      </c>
      <c r="R302" s="5">
        <f>Table1[[#This Row],[Laba_Kotor]]/Table1[[#This Row],[Total_Pendapatan_Bersih]]</f>
        <v>0.21064814814814814</v>
      </c>
    </row>
    <row r="303" spans="1:18" ht="20.25" thickBot="1" x14ac:dyDescent="0.6">
      <c r="A303" s="3" t="s">
        <v>332</v>
      </c>
      <c r="B303" s="21">
        <v>45959</v>
      </c>
      <c r="C303" s="1" t="s">
        <v>23</v>
      </c>
      <c r="D303" s="1" t="s">
        <v>24</v>
      </c>
      <c r="E303" s="2">
        <v>4</v>
      </c>
      <c r="F303" s="1" t="s">
        <v>25</v>
      </c>
      <c r="G303" s="1" t="str">
        <f>INDEX(Table2[Nama Produk],MATCH(Table1[[#This Row],[SKU]],Table2[SKU],0))</f>
        <v>Mechanical Keyboard</v>
      </c>
      <c r="H303" s="1" t="str">
        <f>VLOOKUP(Table1[[#This Row],[SKU]],Table2[],3,FALSE)</f>
        <v>Aksesori</v>
      </c>
      <c r="I303" s="37">
        <f>INDEX(Table2[Harga Jual],MATCH(Table1[[#This Row],[SKU]],Table2[SKU],0))</f>
        <v>850000</v>
      </c>
      <c r="J303" s="37">
        <f>VLOOKUP(Table1[[#This Row],[SKU]],Table2[],4,FALSE)</f>
        <v>450000</v>
      </c>
      <c r="K303" s="37">
        <f>INDEX(Table3[Biaya Kirim per Unit],MATCH(Table1[[#This Row],[Kota]],Table3[Kota],))</f>
        <v>35000</v>
      </c>
      <c r="L303" s="39">
        <f>VLOOKUP(Table1[[#This Row],[Kode_Promo]],Table4[],2,FALSE)</f>
        <v>0.3</v>
      </c>
      <c r="M303" s="37">
        <f>Table1[[#This Row],[Jumlah_Unit]]*Table1[[#This Row],[Harga_Satuan]]</f>
        <v>3400000</v>
      </c>
      <c r="N303" s="37">
        <f>Table1[[#This Row],[Total_Pendapatan_Kotor]]*Table1[[#This Row],[Persentase_Diskon]]</f>
        <v>1020000</v>
      </c>
      <c r="O303" s="37">
        <f>Table1[[#This Row],[Total_Pendapatan_Kotor]]-Table1[[#This Row],[Potongan_Diskon]]</f>
        <v>2380000</v>
      </c>
      <c r="P303" s="37">
        <f>(Table1[[#This Row],[Jumlah_Unit]]*Table1[[#This Row],[HPP_Satuan]])+(Table1[[#This Row],[Jumlah_Unit]]*Table1[[#This Row],[Biaya_Kirim_Satuan]])</f>
        <v>1940000</v>
      </c>
      <c r="Q303" s="37">
        <f>Table1[[#This Row],[Total_Pendapatan_Bersih]]-Table1[[#This Row],[Total_Biaya]]</f>
        <v>440000</v>
      </c>
      <c r="R303" s="5">
        <f>Table1[[#This Row],[Laba_Kotor]]/Table1[[#This Row],[Total_Pendapatan_Bersih]]</f>
        <v>0.18487394957983194</v>
      </c>
    </row>
    <row r="304" spans="1:18" ht="20.25" thickBot="1" x14ac:dyDescent="0.6">
      <c r="A304" s="3" t="s">
        <v>333</v>
      </c>
      <c r="B304" s="21">
        <v>45960</v>
      </c>
      <c r="C304" s="1" t="s">
        <v>27</v>
      </c>
      <c r="D304" s="1" t="s">
        <v>28</v>
      </c>
      <c r="E304" s="2">
        <v>2</v>
      </c>
      <c r="F304" s="1" t="s">
        <v>29</v>
      </c>
      <c r="G304" s="1" t="str">
        <f>INDEX(Table2[Nama Produk],MATCH(Table1[[#This Row],[SKU]],Table2[SKU],0))</f>
        <v>Kursi Kerja Ergonomis</v>
      </c>
      <c r="H304" s="1" t="str">
        <f>VLOOKUP(Table1[[#This Row],[SKU]],Table2[],3,FALSE)</f>
        <v>Furnitur</v>
      </c>
      <c r="I304" s="37">
        <f>INDEX(Table2[Harga Jual],MATCH(Table1[[#This Row],[SKU]],Table2[SKU],0))</f>
        <v>2100000</v>
      </c>
      <c r="J304" s="37">
        <f>VLOOKUP(Table1[[#This Row],[SKU]],Table2[],4,FALSE)</f>
        <v>1200000</v>
      </c>
      <c r="K304" s="37">
        <f>INDEX(Table3[Biaya Kirim per Unit],MATCH(Table1[[#This Row],[Kota]],Table3[Kota],))</f>
        <v>50000</v>
      </c>
      <c r="L304" s="39">
        <f>VLOOKUP(Table1[[#This Row],[Kode_Promo]],Table4[],2,FALSE)</f>
        <v>0</v>
      </c>
      <c r="M304" s="37">
        <f>Table1[[#This Row],[Jumlah_Unit]]*Table1[[#This Row],[Harga_Satuan]]</f>
        <v>4200000</v>
      </c>
      <c r="N304" s="37">
        <f>Table1[[#This Row],[Total_Pendapatan_Kotor]]*Table1[[#This Row],[Persentase_Diskon]]</f>
        <v>0</v>
      </c>
      <c r="O304" s="37">
        <f>Table1[[#This Row],[Total_Pendapatan_Kotor]]-Table1[[#This Row],[Potongan_Diskon]]</f>
        <v>4200000</v>
      </c>
      <c r="P304" s="37">
        <f>(Table1[[#This Row],[Jumlah_Unit]]*Table1[[#This Row],[HPP_Satuan]])+(Table1[[#This Row],[Jumlah_Unit]]*Table1[[#This Row],[Biaya_Kirim_Satuan]])</f>
        <v>2500000</v>
      </c>
      <c r="Q304" s="37">
        <f>Table1[[#This Row],[Total_Pendapatan_Bersih]]-Table1[[#This Row],[Total_Biaya]]</f>
        <v>1700000</v>
      </c>
      <c r="R304" s="5">
        <f>Table1[[#This Row],[Laba_Kotor]]/Table1[[#This Row],[Total_Pendapatan_Bersih]]</f>
        <v>0.40476190476190477</v>
      </c>
    </row>
    <row r="305" spans="1:18" ht="20.25" thickBot="1" x14ac:dyDescent="0.6">
      <c r="A305" s="3" t="s">
        <v>334</v>
      </c>
      <c r="B305" s="21">
        <v>45961</v>
      </c>
      <c r="C305" s="1" t="s">
        <v>31</v>
      </c>
      <c r="D305" s="1" t="s">
        <v>32</v>
      </c>
      <c r="E305" s="2">
        <v>3</v>
      </c>
      <c r="F305" s="1" t="s">
        <v>33</v>
      </c>
      <c r="G305" s="1" t="str">
        <f>INDEX(Table2[Nama Produk],MATCH(Table1[[#This Row],[SKU]],Table2[SKU],0))</f>
        <v>Monitor Ergonomis 27</v>
      </c>
      <c r="H305" s="1" t="str">
        <f>VLOOKUP(Table1[[#This Row],[SKU]],Table2[],3,FALSE)</f>
        <v>Elektronik</v>
      </c>
      <c r="I305" s="37">
        <f>INDEX(Table2[Harga Jual],MATCH(Table1[[#This Row],[SKU]],Table2[SKU],0))</f>
        <v>3400000</v>
      </c>
      <c r="J305" s="37">
        <f>VLOOKUP(Table1[[#This Row],[SKU]],Table2[],4,FALSE)</f>
        <v>2100000</v>
      </c>
      <c r="K305" s="37">
        <f>INDEX(Table3[Biaya Kirim per Unit],MATCH(Table1[[#This Row],[Kota]],Table3[Kota],))</f>
        <v>65000</v>
      </c>
      <c r="L305" s="39">
        <f>VLOOKUP(Table1[[#This Row],[Kode_Promo]],Table4[],2,FALSE)</f>
        <v>0.2</v>
      </c>
      <c r="M305" s="37">
        <f>Table1[[#This Row],[Jumlah_Unit]]*Table1[[#This Row],[Harga_Satuan]]</f>
        <v>10200000</v>
      </c>
      <c r="N305" s="37">
        <f>Table1[[#This Row],[Total_Pendapatan_Kotor]]*Table1[[#This Row],[Persentase_Diskon]]</f>
        <v>2040000</v>
      </c>
      <c r="O305" s="37">
        <f>Table1[[#This Row],[Total_Pendapatan_Kotor]]-Table1[[#This Row],[Potongan_Diskon]]</f>
        <v>8160000</v>
      </c>
      <c r="P305" s="37">
        <f>(Table1[[#This Row],[Jumlah_Unit]]*Table1[[#This Row],[HPP_Satuan]])+(Table1[[#This Row],[Jumlah_Unit]]*Table1[[#This Row],[Biaya_Kirim_Satuan]])</f>
        <v>6495000</v>
      </c>
      <c r="Q305" s="37">
        <f>Table1[[#This Row],[Total_Pendapatan_Bersih]]-Table1[[#This Row],[Total_Biaya]]</f>
        <v>1665000</v>
      </c>
      <c r="R305" s="5">
        <f>Table1[[#This Row],[Laba_Kotor]]/Table1[[#This Row],[Total_Pendapatan_Bersih]]</f>
        <v>0.20404411764705882</v>
      </c>
    </row>
    <row r="306" spans="1:18" ht="20.25" thickBot="1" x14ac:dyDescent="0.6">
      <c r="A306" s="3" t="s">
        <v>335</v>
      </c>
      <c r="B306" s="21">
        <v>45962</v>
      </c>
      <c r="C306" s="1" t="s">
        <v>19</v>
      </c>
      <c r="D306" s="1" t="s">
        <v>35</v>
      </c>
      <c r="E306" s="2">
        <v>4</v>
      </c>
      <c r="F306" s="1" t="s">
        <v>21</v>
      </c>
      <c r="G306" s="1" t="str">
        <f>INDEX(Table2[Nama Produk],MATCH(Table1[[#This Row],[SKU]],Table2[SKU],0))</f>
        <v>Meja Adjustable</v>
      </c>
      <c r="H306" s="1" t="str">
        <f>VLOOKUP(Table1[[#This Row],[SKU]],Table2[],3,FALSE)</f>
        <v>Furnitur</v>
      </c>
      <c r="I306" s="37">
        <f>INDEX(Table2[Harga Jual],MATCH(Table1[[#This Row],[SKU]],Table2[SKU],0))</f>
        <v>4200000</v>
      </c>
      <c r="J306" s="37">
        <f>VLOOKUP(Table1[[#This Row],[SKU]],Table2[],4,FALSE)</f>
        <v>2400000</v>
      </c>
      <c r="K306" s="37">
        <f>INDEX(Table3[Biaya Kirim per Unit],MATCH(Table1[[#This Row],[Kota]],Table3[Kota],))</f>
        <v>25000</v>
      </c>
      <c r="L306" s="39">
        <f>VLOOKUP(Table1[[#This Row],[Kode_Promo]],Table4[],2,FALSE)</f>
        <v>0.1</v>
      </c>
      <c r="M306" s="37">
        <f>Table1[[#This Row],[Jumlah_Unit]]*Table1[[#This Row],[Harga_Satuan]]</f>
        <v>16800000</v>
      </c>
      <c r="N306" s="37">
        <f>Table1[[#This Row],[Total_Pendapatan_Kotor]]*Table1[[#This Row],[Persentase_Diskon]]</f>
        <v>1680000</v>
      </c>
      <c r="O306" s="37">
        <f>Table1[[#This Row],[Total_Pendapatan_Kotor]]-Table1[[#This Row],[Potongan_Diskon]]</f>
        <v>15120000</v>
      </c>
      <c r="P306" s="37">
        <f>(Table1[[#This Row],[Jumlah_Unit]]*Table1[[#This Row],[HPP_Satuan]])+(Table1[[#This Row],[Jumlah_Unit]]*Table1[[#This Row],[Biaya_Kirim_Satuan]])</f>
        <v>9700000</v>
      </c>
      <c r="Q306" s="37">
        <f>Table1[[#This Row],[Total_Pendapatan_Bersih]]-Table1[[#This Row],[Total_Biaya]]</f>
        <v>5420000</v>
      </c>
      <c r="R306" s="5">
        <f>Table1[[#This Row],[Laba_Kotor]]/Table1[[#This Row],[Total_Pendapatan_Bersih]]</f>
        <v>0.35846560846560849</v>
      </c>
    </row>
    <row r="307" spans="1:18" ht="20.25" thickBot="1" x14ac:dyDescent="0.6">
      <c r="A307" s="3" t="s">
        <v>336</v>
      </c>
      <c r="B307" s="21">
        <v>45963</v>
      </c>
      <c r="C307" s="1" t="s">
        <v>23</v>
      </c>
      <c r="D307" s="1" t="s">
        <v>20</v>
      </c>
      <c r="E307" s="2">
        <v>1</v>
      </c>
      <c r="F307" s="1" t="s">
        <v>29</v>
      </c>
      <c r="G307" s="1" t="str">
        <f>INDEX(Table2[Nama Produk],MATCH(Table1[[#This Row],[SKU]],Table2[SKU],0))</f>
        <v>Laptop Pro 14</v>
      </c>
      <c r="H307" s="1" t="str">
        <f>VLOOKUP(Table1[[#This Row],[SKU]],Table2[],3,FALSE)</f>
        <v>Elektronik</v>
      </c>
      <c r="I307" s="37">
        <f>INDEX(Table2[Harga Jual],MATCH(Table1[[#This Row],[SKU]],Table2[SKU],0))</f>
        <v>12000000</v>
      </c>
      <c r="J307" s="37">
        <f>VLOOKUP(Table1[[#This Row],[SKU]],Table2[],4,FALSE)</f>
        <v>8500000</v>
      </c>
      <c r="K307" s="37">
        <f>INDEX(Table3[Biaya Kirim per Unit],MATCH(Table1[[#This Row],[Kota]],Table3[Kota],))</f>
        <v>35000</v>
      </c>
      <c r="L307" s="39">
        <f>VLOOKUP(Table1[[#This Row],[Kode_Promo]],Table4[],2,FALSE)</f>
        <v>0</v>
      </c>
      <c r="M307" s="37">
        <f>Table1[[#This Row],[Jumlah_Unit]]*Table1[[#This Row],[Harga_Satuan]]</f>
        <v>12000000</v>
      </c>
      <c r="N307" s="37">
        <f>Table1[[#This Row],[Total_Pendapatan_Kotor]]*Table1[[#This Row],[Persentase_Diskon]]</f>
        <v>0</v>
      </c>
      <c r="O307" s="37">
        <f>Table1[[#This Row],[Total_Pendapatan_Kotor]]-Table1[[#This Row],[Potongan_Diskon]]</f>
        <v>12000000</v>
      </c>
      <c r="P307" s="37">
        <f>(Table1[[#This Row],[Jumlah_Unit]]*Table1[[#This Row],[HPP_Satuan]])+(Table1[[#This Row],[Jumlah_Unit]]*Table1[[#This Row],[Biaya_Kirim_Satuan]])</f>
        <v>8535000</v>
      </c>
      <c r="Q307" s="37">
        <f>Table1[[#This Row],[Total_Pendapatan_Bersih]]-Table1[[#This Row],[Total_Biaya]]</f>
        <v>3465000</v>
      </c>
      <c r="R307" s="5">
        <f>Table1[[#This Row],[Laba_Kotor]]/Table1[[#This Row],[Total_Pendapatan_Bersih]]</f>
        <v>0.28875000000000001</v>
      </c>
    </row>
    <row r="308" spans="1:18" ht="20.25" thickBot="1" x14ac:dyDescent="0.6">
      <c r="A308" s="3" t="s">
        <v>337</v>
      </c>
      <c r="B308" s="21">
        <v>45964</v>
      </c>
      <c r="C308" s="1" t="s">
        <v>27</v>
      </c>
      <c r="D308" s="1" t="s">
        <v>24</v>
      </c>
      <c r="E308" s="2">
        <v>6</v>
      </c>
      <c r="F308" s="1" t="s">
        <v>25</v>
      </c>
      <c r="G308" s="1" t="str">
        <f>INDEX(Table2[Nama Produk],MATCH(Table1[[#This Row],[SKU]],Table2[SKU],0))</f>
        <v>Mechanical Keyboard</v>
      </c>
      <c r="H308" s="1" t="str">
        <f>VLOOKUP(Table1[[#This Row],[SKU]],Table2[],3,FALSE)</f>
        <v>Aksesori</v>
      </c>
      <c r="I308" s="37">
        <f>INDEX(Table2[Harga Jual],MATCH(Table1[[#This Row],[SKU]],Table2[SKU],0))</f>
        <v>850000</v>
      </c>
      <c r="J308" s="37">
        <f>VLOOKUP(Table1[[#This Row],[SKU]],Table2[],4,FALSE)</f>
        <v>450000</v>
      </c>
      <c r="K308" s="37">
        <f>INDEX(Table3[Biaya Kirim per Unit],MATCH(Table1[[#This Row],[Kota]],Table3[Kota],))</f>
        <v>50000</v>
      </c>
      <c r="L308" s="39">
        <f>VLOOKUP(Table1[[#This Row],[Kode_Promo]],Table4[],2,FALSE)</f>
        <v>0.3</v>
      </c>
      <c r="M308" s="37">
        <f>Table1[[#This Row],[Jumlah_Unit]]*Table1[[#This Row],[Harga_Satuan]]</f>
        <v>5100000</v>
      </c>
      <c r="N308" s="37">
        <f>Table1[[#This Row],[Total_Pendapatan_Kotor]]*Table1[[#This Row],[Persentase_Diskon]]</f>
        <v>1530000</v>
      </c>
      <c r="O308" s="37">
        <f>Table1[[#This Row],[Total_Pendapatan_Kotor]]-Table1[[#This Row],[Potongan_Diskon]]</f>
        <v>3570000</v>
      </c>
      <c r="P308" s="37">
        <f>(Table1[[#This Row],[Jumlah_Unit]]*Table1[[#This Row],[HPP_Satuan]])+(Table1[[#This Row],[Jumlah_Unit]]*Table1[[#This Row],[Biaya_Kirim_Satuan]])</f>
        <v>3000000</v>
      </c>
      <c r="Q308" s="37">
        <f>Table1[[#This Row],[Total_Pendapatan_Bersih]]-Table1[[#This Row],[Total_Biaya]]</f>
        <v>570000</v>
      </c>
      <c r="R308" s="5">
        <f>Table1[[#This Row],[Laba_Kotor]]/Table1[[#This Row],[Total_Pendapatan_Bersih]]</f>
        <v>0.15966386554621848</v>
      </c>
    </row>
    <row r="309" spans="1:18" ht="20.25" thickBot="1" x14ac:dyDescent="0.6">
      <c r="A309" s="3" t="s">
        <v>338</v>
      </c>
      <c r="B309" s="21">
        <v>45965</v>
      </c>
      <c r="C309" s="1" t="s">
        <v>31</v>
      </c>
      <c r="D309" s="1" t="s">
        <v>35</v>
      </c>
      <c r="E309" s="2">
        <v>2</v>
      </c>
      <c r="F309" s="1" t="s">
        <v>33</v>
      </c>
      <c r="G309" s="1" t="str">
        <f>INDEX(Table2[Nama Produk],MATCH(Table1[[#This Row],[SKU]],Table2[SKU],0))</f>
        <v>Meja Adjustable</v>
      </c>
      <c r="H309" s="1" t="str">
        <f>VLOOKUP(Table1[[#This Row],[SKU]],Table2[],3,FALSE)</f>
        <v>Furnitur</v>
      </c>
      <c r="I309" s="37">
        <f>INDEX(Table2[Harga Jual],MATCH(Table1[[#This Row],[SKU]],Table2[SKU],0))</f>
        <v>4200000</v>
      </c>
      <c r="J309" s="37">
        <f>VLOOKUP(Table1[[#This Row],[SKU]],Table2[],4,FALSE)</f>
        <v>2400000</v>
      </c>
      <c r="K309" s="37">
        <f>INDEX(Table3[Biaya Kirim per Unit],MATCH(Table1[[#This Row],[Kota]],Table3[Kota],))</f>
        <v>65000</v>
      </c>
      <c r="L309" s="39">
        <f>VLOOKUP(Table1[[#This Row],[Kode_Promo]],Table4[],2,FALSE)</f>
        <v>0.2</v>
      </c>
      <c r="M309" s="37">
        <f>Table1[[#This Row],[Jumlah_Unit]]*Table1[[#This Row],[Harga_Satuan]]</f>
        <v>8400000</v>
      </c>
      <c r="N309" s="37">
        <f>Table1[[#This Row],[Total_Pendapatan_Kotor]]*Table1[[#This Row],[Persentase_Diskon]]</f>
        <v>1680000</v>
      </c>
      <c r="O309" s="37">
        <f>Table1[[#This Row],[Total_Pendapatan_Kotor]]-Table1[[#This Row],[Potongan_Diskon]]</f>
        <v>6720000</v>
      </c>
      <c r="P309" s="37">
        <f>(Table1[[#This Row],[Jumlah_Unit]]*Table1[[#This Row],[HPP_Satuan]])+(Table1[[#This Row],[Jumlah_Unit]]*Table1[[#This Row],[Biaya_Kirim_Satuan]])</f>
        <v>4930000</v>
      </c>
      <c r="Q309" s="37">
        <f>Table1[[#This Row],[Total_Pendapatan_Bersih]]-Table1[[#This Row],[Total_Biaya]]</f>
        <v>1790000</v>
      </c>
      <c r="R309" s="5">
        <f>Table1[[#This Row],[Laba_Kotor]]/Table1[[#This Row],[Total_Pendapatan_Bersih]]</f>
        <v>0.26636904761904762</v>
      </c>
    </row>
    <row r="310" spans="1:18" ht="20.25" thickBot="1" x14ac:dyDescent="0.6">
      <c r="A310" s="3" t="s">
        <v>339</v>
      </c>
      <c r="B310" s="21">
        <v>45966</v>
      </c>
      <c r="C310" s="1" t="s">
        <v>19</v>
      </c>
      <c r="D310" s="1" t="s">
        <v>32</v>
      </c>
      <c r="E310" s="2">
        <v>5</v>
      </c>
      <c r="F310" s="1" t="s">
        <v>21</v>
      </c>
      <c r="G310" s="1" t="str">
        <f>INDEX(Table2[Nama Produk],MATCH(Table1[[#This Row],[SKU]],Table2[SKU],0))</f>
        <v>Monitor Ergonomis 27</v>
      </c>
      <c r="H310" s="1" t="str">
        <f>VLOOKUP(Table1[[#This Row],[SKU]],Table2[],3,FALSE)</f>
        <v>Elektronik</v>
      </c>
      <c r="I310" s="37">
        <f>INDEX(Table2[Harga Jual],MATCH(Table1[[#This Row],[SKU]],Table2[SKU],0))</f>
        <v>3400000</v>
      </c>
      <c r="J310" s="37">
        <f>VLOOKUP(Table1[[#This Row],[SKU]],Table2[],4,FALSE)</f>
        <v>2100000</v>
      </c>
      <c r="K310" s="37">
        <f>INDEX(Table3[Biaya Kirim per Unit],MATCH(Table1[[#This Row],[Kota]],Table3[Kota],))</f>
        <v>25000</v>
      </c>
      <c r="L310" s="39">
        <f>VLOOKUP(Table1[[#This Row],[Kode_Promo]],Table4[],2,FALSE)</f>
        <v>0.1</v>
      </c>
      <c r="M310" s="37">
        <f>Table1[[#This Row],[Jumlah_Unit]]*Table1[[#This Row],[Harga_Satuan]]</f>
        <v>17000000</v>
      </c>
      <c r="N310" s="37">
        <f>Table1[[#This Row],[Total_Pendapatan_Kotor]]*Table1[[#This Row],[Persentase_Diskon]]</f>
        <v>1700000</v>
      </c>
      <c r="O310" s="37">
        <f>Table1[[#This Row],[Total_Pendapatan_Kotor]]-Table1[[#This Row],[Potongan_Diskon]]</f>
        <v>15300000</v>
      </c>
      <c r="P310" s="37">
        <f>(Table1[[#This Row],[Jumlah_Unit]]*Table1[[#This Row],[HPP_Satuan]])+(Table1[[#This Row],[Jumlah_Unit]]*Table1[[#This Row],[Biaya_Kirim_Satuan]])</f>
        <v>10625000</v>
      </c>
      <c r="Q310" s="37">
        <f>Table1[[#This Row],[Total_Pendapatan_Bersih]]-Table1[[#This Row],[Total_Biaya]]</f>
        <v>4675000</v>
      </c>
      <c r="R310" s="5">
        <f>Table1[[#This Row],[Laba_Kotor]]/Table1[[#This Row],[Total_Pendapatan_Bersih]]</f>
        <v>0.30555555555555558</v>
      </c>
    </row>
    <row r="311" spans="1:18" ht="20.25" thickBot="1" x14ac:dyDescent="0.6">
      <c r="A311" s="3" t="s">
        <v>340</v>
      </c>
      <c r="B311" s="21">
        <v>45967</v>
      </c>
      <c r="C311" s="1" t="s">
        <v>23</v>
      </c>
      <c r="D311" s="1" t="s">
        <v>28</v>
      </c>
      <c r="E311" s="2">
        <v>3</v>
      </c>
      <c r="F311" s="1" t="s">
        <v>25</v>
      </c>
      <c r="G311" s="1" t="str">
        <f>INDEX(Table2[Nama Produk],MATCH(Table1[[#This Row],[SKU]],Table2[SKU],0))</f>
        <v>Kursi Kerja Ergonomis</v>
      </c>
      <c r="H311" s="1" t="str">
        <f>VLOOKUP(Table1[[#This Row],[SKU]],Table2[],3,FALSE)</f>
        <v>Furnitur</v>
      </c>
      <c r="I311" s="37">
        <f>INDEX(Table2[Harga Jual],MATCH(Table1[[#This Row],[SKU]],Table2[SKU],0))</f>
        <v>2100000</v>
      </c>
      <c r="J311" s="37">
        <f>VLOOKUP(Table1[[#This Row],[SKU]],Table2[],4,FALSE)</f>
        <v>1200000</v>
      </c>
      <c r="K311" s="37">
        <f>INDEX(Table3[Biaya Kirim per Unit],MATCH(Table1[[#This Row],[Kota]],Table3[Kota],))</f>
        <v>35000</v>
      </c>
      <c r="L311" s="39">
        <f>VLOOKUP(Table1[[#This Row],[Kode_Promo]],Table4[],2,FALSE)</f>
        <v>0.3</v>
      </c>
      <c r="M311" s="37">
        <f>Table1[[#This Row],[Jumlah_Unit]]*Table1[[#This Row],[Harga_Satuan]]</f>
        <v>6300000</v>
      </c>
      <c r="N311" s="37">
        <f>Table1[[#This Row],[Total_Pendapatan_Kotor]]*Table1[[#This Row],[Persentase_Diskon]]</f>
        <v>1890000</v>
      </c>
      <c r="O311" s="37">
        <f>Table1[[#This Row],[Total_Pendapatan_Kotor]]-Table1[[#This Row],[Potongan_Diskon]]</f>
        <v>4410000</v>
      </c>
      <c r="P311" s="37">
        <f>(Table1[[#This Row],[Jumlah_Unit]]*Table1[[#This Row],[HPP_Satuan]])+(Table1[[#This Row],[Jumlah_Unit]]*Table1[[#This Row],[Biaya_Kirim_Satuan]])</f>
        <v>3705000</v>
      </c>
      <c r="Q311" s="37">
        <f>Table1[[#This Row],[Total_Pendapatan_Bersih]]-Table1[[#This Row],[Total_Biaya]]</f>
        <v>705000</v>
      </c>
      <c r="R311" s="5">
        <f>Table1[[#This Row],[Laba_Kotor]]/Table1[[#This Row],[Total_Pendapatan_Bersih]]</f>
        <v>0.1598639455782313</v>
      </c>
    </row>
    <row r="312" spans="1:18" ht="20.25" thickBot="1" x14ac:dyDescent="0.6">
      <c r="A312" s="3" t="s">
        <v>341</v>
      </c>
      <c r="B312" s="21">
        <v>45968</v>
      </c>
      <c r="C312" s="1" t="s">
        <v>27</v>
      </c>
      <c r="D312" s="1" t="s">
        <v>20</v>
      </c>
      <c r="E312" s="2">
        <v>2</v>
      </c>
      <c r="F312" s="1" t="s">
        <v>29</v>
      </c>
      <c r="G312" s="1" t="str">
        <f>INDEX(Table2[Nama Produk],MATCH(Table1[[#This Row],[SKU]],Table2[SKU],0))</f>
        <v>Laptop Pro 14</v>
      </c>
      <c r="H312" s="1" t="str">
        <f>VLOOKUP(Table1[[#This Row],[SKU]],Table2[],3,FALSE)</f>
        <v>Elektronik</v>
      </c>
      <c r="I312" s="37">
        <f>INDEX(Table2[Harga Jual],MATCH(Table1[[#This Row],[SKU]],Table2[SKU],0))</f>
        <v>12000000</v>
      </c>
      <c r="J312" s="37">
        <f>VLOOKUP(Table1[[#This Row],[SKU]],Table2[],4,FALSE)</f>
        <v>8500000</v>
      </c>
      <c r="K312" s="37">
        <f>INDEX(Table3[Biaya Kirim per Unit],MATCH(Table1[[#This Row],[Kota]],Table3[Kota],))</f>
        <v>50000</v>
      </c>
      <c r="L312" s="39">
        <f>VLOOKUP(Table1[[#This Row],[Kode_Promo]],Table4[],2,FALSE)</f>
        <v>0</v>
      </c>
      <c r="M312" s="37">
        <f>Table1[[#This Row],[Jumlah_Unit]]*Table1[[#This Row],[Harga_Satuan]]</f>
        <v>24000000</v>
      </c>
      <c r="N312" s="37">
        <f>Table1[[#This Row],[Total_Pendapatan_Kotor]]*Table1[[#This Row],[Persentase_Diskon]]</f>
        <v>0</v>
      </c>
      <c r="O312" s="37">
        <f>Table1[[#This Row],[Total_Pendapatan_Kotor]]-Table1[[#This Row],[Potongan_Diskon]]</f>
        <v>24000000</v>
      </c>
      <c r="P312" s="37">
        <f>(Table1[[#This Row],[Jumlah_Unit]]*Table1[[#This Row],[HPP_Satuan]])+(Table1[[#This Row],[Jumlah_Unit]]*Table1[[#This Row],[Biaya_Kirim_Satuan]])</f>
        <v>17100000</v>
      </c>
      <c r="Q312" s="37">
        <f>Table1[[#This Row],[Total_Pendapatan_Bersih]]-Table1[[#This Row],[Total_Biaya]]</f>
        <v>6900000</v>
      </c>
      <c r="R312" s="5">
        <f>Table1[[#This Row],[Laba_Kotor]]/Table1[[#This Row],[Total_Pendapatan_Bersih]]</f>
        <v>0.28749999999999998</v>
      </c>
    </row>
    <row r="313" spans="1:18" ht="20.25" thickBot="1" x14ac:dyDescent="0.6">
      <c r="A313" s="3" t="s">
        <v>342</v>
      </c>
      <c r="B313" s="21">
        <v>45969</v>
      </c>
      <c r="C313" s="1" t="s">
        <v>31</v>
      </c>
      <c r="D313" s="1" t="s">
        <v>24</v>
      </c>
      <c r="E313" s="2">
        <v>7</v>
      </c>
      <c r="F313" s="1" t="s">
        <v>33</v>
      </c>
      <c r="G313" s="1" t="str">
        <f>INDEX(Table2[Nama Produk],MATCH(Table1[[#This Row],[SKU]],Table2[SKU],0))</f>
        <v>Mechanical Keyboard</v>
      </c>
      <c r="H313" s="1" t="str">
        <f>VLOOKUP(Table1[[#This Row],[SKU]],Table2[],3,FALSE)</f>
        <v>Aksesori</v>
      </c>
      <c r="I313" s="37">
        <f>INDEX(Table2[Harga Jual],MATCH(Table1[[#This Row],[SKU]],Table2[SKU],0))</f>
        <v>850000</v>
      </c>
      <c r="J313" s="37">
        <f>VLOOKUP(Table1[[#This Row],[SKU]],Table2[],4,FALSE)</f>
        <v>450000</v>
      </c>
      <c r="K313" s="37">
        <f>INDEX(Table3[Biaya Kirim per Unit],MATCH(Table1[[#This Row],[Kota]],Table3[Kota],))</f>
        <v>65000</v>
      </c>
      <c r="L313" s="39">
        <f>VLOOKUP(Table1[[#This Row],[Kode_Promo]],Table4[],2,FALSE)</f>
        <v>0.2</v>
      </c>
      <c r="M313" s="37">
        <f>Table1[[#This Row],[Jumlah_Unit]]*Table1[[#This Row],[Harga_Satuan]]</f>
        <v>5950000</v>
      </c>
      <c r="N313" s="37">
        <f>Table1[[#This Row],[Total_Pendapatan_Kotor]]*Table1[[#This Row],[Persentase_Diskon]]</f>
        <v>1190000</v>
      </c>
      <c r="O313" s="37">
        <f>Table1[[#This Row],[Total_Pendapatan_Kotor]]-Table1[[#This Row],[Potongan_Diskon]]</f>
        <v>4760000</v>
      </c>
      <c r="P313" s="37">
        <f>(Table1[[#This Row],[Jumlah_Unit]]*Table1[[#This Row],[HPP_Satuan]])+(Table1[[#This Row],[Jumlah_Unit]]*Table1[[#This Row],[Biaya_Kirim_Satuan]])</f>
        <v>3605000</v>
      </c>
      <c r="Q313" s="37">
        <f>Table1[[#This Row],[Total_Pendapatan_Bersih]]-Table1[[#This Row],[Total_Biaya]]</f>
        <v>1155000</v>
      </c>
      <c r="R313" s="5">
        <f>Table1[[#This Row],[Laba_Kotor]]/Table1[[#This Row],[Total_Pendapatan_Bersih]]</f>
        <v>0.24264705882352941</v>
      </c>
    </row>
    <row r="314" spans="1:18" ht="20.25" thickBot="1" x14ac:dyDescent="0.6">
      <c r="A314" s="3" t="s">
        <v>343</v>
      </c>
      <c r="B314" s="21">
        <v>45970</v>
      </c>
      <c r="C314" s="1" t="s">
        <v>19</v>
      </c>
      <c r="D314" s="1" t="s">
        <v>28</v>
      </c>
      <c r="E314" s="2">
        <v>1</v>
      </c>
      <c r="F314" s="1" t="s">
        <v>21</v>
      </c>
      <c r="G314" s="1" t="str">
        <f>INDEX(Table2[Nama Produk],MATCH(Table1[[#This Row],[SKU]],Table2[SKU],0))</f>
        <v>Kursi Kerja Ergonomis</v>
      </c>
      <c r="H314" s="1" t="str">
        <f>VLOOKUP(Table1[[#This Row],[SKU]],Table2[],3,FALSE)</f>
        <v>Furnitur</v>
      </c>
      <c r="I314" s="37">
        <f>INDEX(Table2[Harga Jual],MATCH(Table1[[#This Row],[SKU]],Table2[SKU],0))</f>
        <v>2100000</v>
      </c>
      <c r="J314" s="37">
        <f>VLOOKUP(Table1[[#This Row],[SKU]],Table2[],4,FALSE)</f>
        <v>1200000</v>
      </c>
      <c r="K314" s="37">
        <f>INDEX(Table3[Biaya Kirim per Unit],MATCH(Table1[[#This Row],[Kota]],Table3[Kota],))</f>
        <v>25000</v>
      </c>
      <c r="L314" s="39">
        <f>VLOOKUP(Table1[[#This Row],[Kode_Promo]],Table4[],2,FALSE)</f>
        <v>0.1</v>
      </c>
      <c r="M314" s="37">
        <f>Table1[[#This Row],[Jumlah_Unit]]*Table1[[#This Row],[Harga_Satuan]]</f>
        <v>2100000</v>
      </c>
      <c r="N314" s="37">
        <f>Table1[[#This Row],[Total_Pendapatan_Kotor]]*Table1[[#This Row],[Persentase_Diskon]]</f>
        <v>210000</v>
      </c>
      <c r="O314" s="37">
        <f>Table1[[#This Row],[Total_Pendapatan_Kotor]]-Table1[[#This Row],[Potongan_Diskon]]</f>
        <v>1890000</v>
      </c>
      <c r="P314" s="37">
        <f>(Table1[[#This Row],[Jumlah_Unit]]*Table1[[#This Row],[HPP_Satuan]])+(Table1[[#This Row],[Jumlah_Unit]]*Table1[[#This Row],[Biaya_Kirim_Satuan]])</f>
        <v>1225000</v>
      </c>
      <c r="Q314" s="37">
        <f>Table1[[#This Row],[Total_Pendapatan_Bersih]]-Table1[[#This Row],[Total_Biaya]]</f>
        <v>665000</v>
      </c>
      <c r="R314" s="5">
        <f>Table1[[#This Row],[Laba_Kotor]]/Table1[[#This Row],[Total_Pendapatan_Bersih]]</f>
        <v>0.35185185185185186</v>
      </c>
    </row>
    <row r="315" spans="1:18" ht="20.25" thickBot="1" x14ac:dyDescent="0.6">
      <c r="A315" s="3" t="s">
        <v>344</v>
      </c>
      <c r="B315" s="21">
        <v>45971</v>
      </c>
      <c r="C315" s="1" t="s">
        <v>23</v>
      </c>
      <c r="D315" s="1" t="s">
        <v>32</v>
      </c>
      <c r="E315" s="2">
        <v>2</v>
      </c>
      <c r="F315" s="1" t="s">
        <v>25</v>
      </c>
      <c r="G315" s="1" t="str">
        <f>INDEX(Table2[Nama Produk],MATCH(Table1[[#This Row],[SKU]],Table2[SKU],0))</f>
        <v>Monitor Ergonomis 27</v>
      </c>
      <c r="H315" s="1" t="str">
        <f>VLOOKUP(Table1[[#This Row],[SKU]],Table2[],3,FALSE)</f>
        <v>Elektronik</v>
      </c>
      <c r="I315" s="37">
        <f>INDEX(Table2[Harga Jual],MATCH(Table1[[#This Row],[SKU]],Table2[SKU],0))</f>
        <v>3400000</v>
      </c>
      <c r="J315" s="37">
        <f>VLOOKUP(Table1[[#This Row],[SKU]],Table2[],4,FALSE)</f>
        <v>2100000</v>
      </c>
      <c r="K315" s="37">
        <f>INDEX(Table3[Biaya Kirim per Unit],MATCH(Table1[[#This Row],[Kota]],Table3[Kota],))</f>
        <v>35000</v>
      </c>
      <c r="L315" s="39">
        <f>VLOOKUP(Table1[[#This Row],[Kode_Promo]],Table4[],2,FALSE)</f>
        <v>0.3</v>
      </c>
      <c r="M315" s="37">
        <f>Table1[[#This Row],[Jumlah_Unit]]*Table1[[#This Row],[Harga_Satuan]]</f>
        <v>6800000</v>
      </c>
      <c r="N315" s="37">
        <f>Table1[[#This Row],[Total_Pendapatan_Kotor]]*Table1[[#This Row],[Persentase_Diskon]]</f>
        <v>2040000</v>
      </c>
      <c r="O315" s="37">
        <f>Table1[[#This Row],[Total_Pendapatan_Kotor]]-Table1[[#This Row],[Potongan_Diskon]]</f>
        <v>4760000</v>
      </c>
      <c r="P315" s="37">
        <f>(Table1[[#This Row],[Jumlah_Unit]]*Table1[[#This Row],[HPP_Satuan]])+(Table1[[#This Row],[Jumlah_Unit]]*Table1[[#This Row],[Biaya_Kirim_Satuan]])</f>
        <v>4270000</v>
      </c>
      <c r="Q315" s="37">
        <f>Table1[[#This Row],[Total_Pendapatan_Bersih]]-Table1[[#This Row],[Total_Biaya]]</f>
        <v>490000</v>
      </c>
      <c r="R315" s="5">
        <f>Table1[[#This Row],[Laba_Kotor]]/Table1[[#This Row],[Total_Pendapatan_Bersih]]</f>
        <v>0.10294117647058823</v>
      </c>
    </row>
    <row r="316" spans="1:18" ht="20.25" thickBot="1" x14ac:dyDescent="0.6">
      <c r="A316" s="3" t="s">
        <v>345</v>
      </c>
      <c r="B316" s="21">
        <v>45972</v>
      </c>
      <c r="C316" s="1" t="s">
        <v>27</v>
      </c>
      <c r="D316" s="1" t="s">
        <v>35</v>
      </c>
      <c r="E316" s="2">
        <v>5</v>
      </c>
      <c r="F316" s="1" t="s">
        <v>29</v>
      </c>
      <c r="G316" s="1" t="str">
        <f>INDEX(Table2[Nama Produk],MATCH(Table1[[#This Row],[SKU]],Table2[SKU],0))</f>
        <v>Meja Adjustable</v>
      </c>
      <c r="H316" s="1" t="str">
        <f>VLOOKUP(Table1[[#This Row],[SKU]],Table2[],3,FALSE)</f>
        <v>Furnitur</v>
      </c>
      <c r="I316" s="37">
        <f>INDEX(Table2[Harga Jual],MATCH(Table1[[#This Row],[SKU]],Table2[SKU],0))</f>
        <v>4200000</v>
      </c>
      <c r="J316" s="37">
        <f>VLOOKUP(Table1[[#This Row],[SKU]],Table2[],4,FALSE)</f>
        <v>2400000</v>
      </c>
      <c r="K316" s="37">
        <f>INDEX(Table3[Biaya Kirim per Unit],MATCH(Table1[[#This Row],[Kota]],Table3[Kota],))</f>
        <v>50000</v>
      </c>
      <c r="L316" s="39">
        <f>VLOOKUP(Table1[[#This Row],[Kode_Promo]],Table4[],2,FALSE)</f>
        <v>0</v>
      </c>
      <c r="M316" s="37">
        <f>Table1[[#This Row],[Jumlah_Unit]]*Table1[[#This Row],[Harga_Satuan]]</f>
        <v>21000000</v>
      </c>
      <c r="N316" s="37">
        <f>Table1[[#This Row],[Total_Pendapatan_Kotor]]*Table1[[#This Row],[Persentase_Diskon]]</f>
        <v>0</v>
      </c>
      <c r="O316" s="37">
        <f>Table1[[#This Row],[Total_Pendapatan_Kotor]]-Table1[[#This Row],[Potongan_Diskon]]</f>
        <v>21000000</v>
      </c>
      <c r="P316" s="37">
        <f>(Table1[[#This Row],[Jumlah_Unit]]*Table1[[#This Row],[HPP_Satuan]])+(Table1[[#This Row],[Jumlah_Unit]]*Table1[[#This Row],[Biaya_Kirim_Satuan]])</f>
        <v>12250000</v>
      </c>
      <c r="Q316" s="37">
        <f>Table1[[#This Row],[Total_Pendapatan_Bersih]]-Table1[[#This Row],[Total_Biaya]]</f>
        <v>8750000</v>
      </c>
      <c r="R316" s="5">
        <f>Table1[[#This Row],[Laba_Kotor]]/Table1[[#This Row],[Total_Pendapatan_Bersih]]</f>
        <v>0.41666666666666669</v>
      </c>
    </row>
    <row r="317" spans="1:18" ht="20.25" thickBot="1" x14ac:dyDescent="0.6">
      <c r="A317" s="3" t="s">
        <v>346</v>
      </c>
      <c r="B317" s="21">
        <v>45973</v>
      </c>
      <c r="C317" s="1" t="s">
        <v>31</v>
      </c>
      <c r="D317" s="1" t="s">
        <v>20</v>
      </c>
      <c r="E317" s="2">
        <v>2</v>
      </c>
      <c r="F317" s="1" t="s">
        <v>33</v>
      </c>
      <c r="G317" s="1" t="str">
        <f>INDEX(Table2[Nama Produk],MATCH(Table1[[#This Row],[SKU]],Table2[SKU],0))</f>
        <v>Laptop Pro 14</v>
      </c>
      <c r="H317" s="1" t="str">
        <f>VLOOKUP(Table1[[#This Row],[SKU]],Table2[],3,FALSE)</f>
        <v>Elektronik</v>
      </c>
      <c r="I317" s="37">
        <f>INDEX(Table2[Harga Jual],MATCH(Table1[[#This Row],[SKU]],Table2[SKU],0))</f>
        <v>12000000</v>
      </c>
      <c r="J317" s="37">
        <f>VLOOKUP(Table1[[#This Row],[SKU]],Table2[],4,FALSE)</f>
        <v>8500000</v>
      </c>
      <c r="K317" s="37">
        <f>INDEX(Table3[Biaya Kirim per Unit],MATCH(Table1[[#This Row],[Kota]],Table3[Kota],))</f>
        <v>65000</v>
      </c>
      <c r="L317" s="39">
        <f>VLOOKUP(Table1[[#This Row],[Kode_Promo]],Table4[],2,FALSE)</f>
        <v>0.2</v>
      </c>
      <c r="M317" s="37">
        <f>Table1[[#This Row],[Jumlah_Unit]]*Table1[[#This Row],[Harga_Satuan]]</f>
        <v>24000000</v>
      </c>
      <c r="N317" s="37">
        <f>Table1[[#This Row],[Total_Pendapatan_Kotor]]*Table1[[#This Row],[Persentase_Diskon]]</f>
        <v>4800000</v>
      </c>
      <c r="O317" s="37">
        <f>Table1[[#This Row],[Total_Pendapatan_Kotor]]-Table1[[#This Row],[Potongan_Diskon]]</f>
        <v>19200000</v>
      </c>
      <c r="P317" s="37">
        <f>(Table1[[#This Row],[Jumlah_Unit]]*Table1[[#This Row],[HPP_Satuan]])+(Table1[[#This Row],[Jumlah_Unit]]*Table1[[#This Row],[Biaya_Kirim_Satuan]])</f>
        <v>17130000</v>
      </c>
      <c r="Q317" s="37">
        <f>Table1[[#This Row],[Total_Pendapatan_Bersih]]-Table1[[#This Row],[Total_Biaya]]</f>
        <v>2070000</v>
      </c>
      <c r="R317" s="5">
        <f>Table1[[#This Row],[Laba_Kotor]]/Table1[[#This Row],[Total_Pendapatan_Bersih]]</f>
        <v>0.10781250000000001</v>
      </c>
    </row>
    <row r="318" spans="1:18" ht="20.25" thickBot="1" x14ac:dyDescent="0.6">
      <c r="A318" s="3" t="s">
        <v>347</v>
      </c>
      <c r="B318" s="21">
        <v>45974</v>
      </c>
      <c r="C318" s="1" t="s">
        <v>19</v>
      </c>
      <c r="D318" s="1" t="s">
        <v>24</v>
      </c>
      <c r="E318" s="2">
        <v>4</v>
      </c>
      <c r="F318" s="1" t="s">
        <v>21</v>
      </c>
      <c r="G318" s="1" t="str">
        <f>INDEX(Table2[Nama Produk],MATCH(Table1[[#This Row],[SKU]],Table2[SKU],0))</f>
        <v>Mechanical Keyboard</v>
      </c>
      <c r="H318" s="1" t="str">
        <f>VLOOKUP(Table1[[#This Row],[SKU]],Table2[],3,FALSE)</f>
        <v>Aksesori</v>
      </c>
      <c r="I318" s="37">
        <f>INDEX(Table2[Harga Jual],MATCH(Table1[[#This Row],[SKU]],Table2[SKU],0))</f>
        <v>850000</v>
      </c>
      <c r="J318" s="37">
        <f>VLOOKUP(Table1[[#This Row],[SKU]],Table2[],4,FALSE)</f>
        <v>450000</v>
      </c>
      <c r="K318" s="37">
        <f>INDEX(Table3[Biaya Kirim per Unit],MATCH(Table1[[#This Row],[Kota]],Table3[Kota],))</f>
        <v>25000</v>
      </c>
      <c r="L318" s="39">
        <f>VLOOKUP(Table1[[#This Row],[Kode_Promo]],Table4[],2,FALSE)</f>
        <v>0.1</v>
      </c>
      <c r="M318" s="37">
        <f>Table1[[#This Row],[Jumlah_Unit]]*Table1[[#This Row],[Harga_Satuan]]</f>
        <v>3400000</v>
      </c>
      <c r="N318" s="37">
        <f>Table1[[#This Row],[Total_Pendapatan_Kotor]]*Table1[[#This Row],[Persentase_Diskon]]</f>
        <v>340000</v>
      </c>
      <c r="O318" s="37">
        <f>Table1[[#This Row],[Total_Pendapatan_Kotor]]-Table1[[#This Row],[Potongan_Diskon]]</f>
        <v>3060000</v>
      </c>
      <c r="P318" s="37">
        <f>(Table1[[#This Row],[Jumlah_Unit]]*Table1[[#This Row],[HPP_Satuan]])+(Table1[[#This Row],[Jumlah_Unit]]*Table1[[#This Row],[Biaya_Kirim_Satuan]])</f>
        <v>1900000</v>
      </c>
      <c r="Q318" s="37">
        <f>Table1[[#This Row],[Total_Pendapatan_Bersih]]-Table1[[#This Row],[Total_Biaya]]</f>
        <v>1160000</v>
      </c>
      <c r="R318" s="5">
        <f>Table1[[#This Row],[Laba_Kotor]]/Table1[[#This Row],[Total_Pendapatan_Bersih]]</f>
        <v>0.37908496732026142</v>
      </c>
    </row>
    <row r="319" spans="1:18" ht="20.25" thickBot="1" x14ac:dyDescent="0.6">
      <c r="A319" s="3" t="s">
        <v>348</v>
      </c>
      <c r="B319" s="21">
        <v>45975</v>
      </c>
      <c r="C319" s="1" t="s">
        <v>23</v>
      </c>
      <c r="D319" s="1" t="s">
        <v>35</v>
      </c>
      <c r="E319" s="2">
        <v>3</v>
      </c>
      <c r="F319" s="1" t="s">
        <v>25</v>
      </c>
      <c r="G319" s="1" t="str">
        <f>INDEX(Table2[Nama Produk],MATCH(Table1[[#This Row],[SKU]],Table2[SKU],0))</f>
        <v>Meja Adjustable</v>
      </c>
      <c r="H319" s="1" t="str">
        <f>VLOOKUP(Table1[[#This Row],[SKU]],Table2[],3,FALSE)</f>
        <v>Furnitur</v>
      </c>
      <c r="I319" s="37">
        <f>INDEX(Table2[Harga Jual],MATCH(Table1[[#This Row],[SKU]],Table2[SKU],0))</f>
        <v>4200000</v>
      </c>
      <c r="J319" s="37">
        <f>VLOOKUP(Table1[[#This Row],[SKU]],Table2[],4,FALSE)</f>
        <v>2400000</v>
      </c>
      <c r="K319" s="37">
        <f>INDEX(Table3[Biaya Kirim per Unit],MATCH(Table1[[#This Row],[Kota]],Table3[Kota],))</f>
        <v>35000</v>
      </c>
      <c r="L319" s="39">
        <f>VLOOKUP(Table1[[#This Row],[Kode_Promo]],Table4[],2,FALSE)</f>
        <v>0.3</v>
      </c>
      <c r="M319" s="37">
        <f>Table1[[#This Row],[Jumlah_Unit]]*Table1[[#This Row],[Harga_Satuan]]</f>
        <v>12600000</v>
      </c>
      <c r="N319" s="37">
        <f>Table1[[#This Row],[Total_Pendapatan_Kotor]]*Table1[[#This Row],[Persentase_Diskon]]</f>
        <v>3780000</v>
      </c>
      <c r="O319" s="37">
        <f>Table1[[#This Row],[Total_Pendapatan_Kotor]]-Table1[[#This Row],[Potongan_Diskon]]</f>
        <v>8820000</v>
      </c>
      <c r="P319" s="37">
        <f>(Table1[[#This Row],[Jumlah_Unit]]*Table1[[#This Row],[HPP_Satuan]])+(Table1[[#This Row],[Jumlah_Unit]]*Table1[[#This Row],[Biaya_Kirim_Satuan]])</f>
        <v>7305000</v>
      </c>
      <c r="Q319" s="37">
        <f>Table1[[#This Row],[Total_Pendapatan_Bersih]]-Table1[[#This Row],[Total_Biaya]]</f>
        <v>1515000</v>
      </c>
      <c r="R319" s="5">
        <f>Table1[[#This Row],[Laba_Kotor]]/Table1[[#This Row],[Total_Pendapatan_Bersih]]</f>
        <v>0.17176870748299319</v>
      </c>
    </row>
    <row r="320" spans="1:18" ht="20.25" thickBot="1" x14ac:dyDescent="0.6">
      <c r="A320" s="3" t="s">
        <v>349</v>
      </c>
      <c r="B320" s="21">
        <v>45976</v>
      </c>
      <c r="C320" s="1" t="s">
        <v>27</v>
      </c>
      <c r="D320" s="1" t="s">
        <v>32</v>
      </c>
      <c r="E320" s="2">
        <v>1</v>
      </c>
      <c r="F320" s="1" t="s">
        <v>29</v>
      </c>
      <c r="G320" s="1" t="str">
        <f>INDEX(Table2[Nama Produk],MATCH(Table1[[#This Row],[SKU]],Table2[SKU],0))</f>
        <v>Monitor Ergonomis 27</v>
      </c>
      <c r="H320" s="1" t="str">
        <f>VLOOKUP(Table1[[#This Row],[SKU]],Table2[],3,FALSE)</f>
        <v>Elektronik</v>
      </c>
      <c r="I320" s="37">
        <f>INDEX(Table2[Harga Jual],MATCH(Table1[[#This Row],[SKU]],Table2[SKU],0))</f>
        <v>3400000</v>
      </c>
      <c r="J320" s="37">
        <f>VLOOKUP(Table1[[#This Row],[SKU]],Table2[],4,FALSE)</f>
        <v>2100000</v>
      </c>
      <c r="K320" s="37">
        <f>INDEX(Table3[Biaya Kirim per Unit],MATCH(Table1[[#This Row],[Kota]],Table3[Kota],))</f>
        <v>50000</v>
      </c>
      <c r="L320" s="39">
        <f>VLOOKUP(Table1[[#This Row],[Kode_Promo]],Table4[],2,FALSE)</f>
        <v>0</v>
      </c>
      <c r="M320" s="37">
        <f>Table1[[#This Row],[Jumlah_Unit]]*Table1[[#This Row],[Harga_Satuan]]</f>
        <v>3400000</v>
      </c>
      <c r="N320" s="37">
        <f>Table1[[#This Row],[Total_Pendapatan_Kotor]]*Table1[[#This Row],[Persentase_Diskon]]</f>
        <v>0</v>
      </c>
      <c r="O320" s="37">
        <f>Table1[[#This Row],[Total_Pendapatan_Kotor]]-Table1[[#This Row],[Potongan_Diskon]]</f>
        <v>3400000</v>
      </c>
      <c r="P320" s="37">
        <f>(Table1[[#This Row],[Jumlah_Unit]]*Table1[[#This Row],[HPP_Satuan]])+(Table1[[#This Row],[Jumlah_Unit]]*Table1[[#This Row],[Biaya_Kirim_Satuan]])</f>
        <v>2150000</v>
      </c>
      <c r="Q320" s="37">
        <f>Table1[[#This Row],[Total_Pendapatan_Bersih]]-Table1[[#This Row],[Total_Biaya]]</f>
        <v>1250000</v>
      </c>
      <c r="R320" s="5">
        <f>Table1[[#This Row],[Laba_Kotor]]/Table1[[#This Row],[Total_Pendapatan_Bersih]]</f>
        <v>0.36764705882352944</v>
      </c>
    </row>
    <row r="321" spans="1:18" ht="20.25" thickBot="1" x14ac:dyDescent="0.6">
      <c r="A321" s="3" t="s">
        <v>350</v>
      </c>
      <c r="B321" s="21">
        <v>45977</v>
      </c>
      <c r="C321" s="1" t="s">
        <v>31</v>
      </c>
      <c r="D321" s="1" t="s">
        <v>28</v>
      </c>
      <c r="E321" s="2">
        <v>4</v>
      </c>
      <c r="F321" s="1" t="s">
        <v>33</v>
      </c>
      <c r="G321" s="1" t="str">
        <f>INDEX(Table2[Nama Produk],MATCH(Table1[[#This Row],[SKU]],Table2[SKU],0))</f>
        <v>Kursi Kerja Ergonomis</v>
      </c>
      <c r="H321" s="1" t="str">
        <f>VLOOKUP(Table1[[#This Row],[SKU]],Table2[],3,FALSE)</f>
        <v>Furnitur</v>
      </c>
      <c r="I321" s="37">
        <f>INDEX(Table2[Harga Jual],MATCH(Table1[[#This Row],[SKU]],Table2[SKU],0))</f>
        <v>2100000</v>
      </c>
      <c r="J321" s="37">
        <f>VLOOKUP(Table1[[#This Row],[SKU]],Table2[],4,FALSE)</f>
        <v>1200000</v>
      </c>
      <c r="K321" s="37">
        <f>INDEX(Table3[Biaya Kirim per Unit],MATCH(Table1[[#This Row],[Kota]],Table3[Kota],))</f>
        <v>65000</v>
      </c>
      <c r="L321" s="39">
        <f>VLOOKUP(Table1[[#This Row],[Kode_Promo]],Table4[],2,FALSE)</f>
        <v>0.2</v>
      </c>
      <c r="M321" s="37">
        <f>Table1[[#This Row],[Jumlah_Unit]]*Table1[[#This Row],[Harga_Satuan]]</f>
        <v>8400000</v>
      </c>
      <c r="N321" s="37">
        <f>Table1[[#This Row],[Total_Pendapatan_Kotor]]*Table1[[#This Row],[Persentase_Diskon]]</f>
        <v>1680000</v>
      </c>
      <c r="O321" s="37">
        <f>Table1[[#This Row],[Total_Pendapatan_Kotor]]-Table1[[#This Row],[Potongan_Diskon]]</f>
        <v>6720000</v>
      </c>
      <c r="P321" s="37">
        <f>(Table1[[#This Row],[Jumlah_Unit]]*Table1[[#This Row],[HPP_Satuan]])+(Table1[[#This Row],[Jumlah_Unit]]*Table1[[#This Row],[Biaya_Kirim_Satuan]])</f>
        <v>5060000</v>
      </c>
      <c r="Q321" s="37">
        <f>Table1[[#This Row],[Total_Pendapatan_Bersih]]-Table1[[#This Row],[Total_Biaya]]</f>
        <v>1660000</v>
      </c>
      <c r="R321" s="5">
        <f>Table1[[#This Row],[Laba_Kotor]]/Table1[[#This Row],[Total_Pendapatan_Bersih]]</f>
        <v>0.24702380952380953</v>
      </c>
    </row>
    <row r="322" spans="1:18" ht="20.25" thickBot="1" x14ac:dyDescent="0.6">
      <c r="A322" s="3" t="s">
        <v>351</v>
      </c>
      <c r="B322" s="21">
        <v>45978</v>
      </c>
      <c r="C322" s="1" t="s">
        <v>19</v>
      </c>
      <c r="D322" s="1" t="s">
        <v>20</v>
      </c>
      <c r="E322" s="2">
        <v>3</v>
      </c>
      <c r="F322" s="1" t="s">
        <v>21</v>
      </c>
      <c r="G322" s="1" t="str">
        <f>INDEX(Table2[Nama Produk],MATCH(Table1[[#This Row],[SKU]],Table2[SKU],0))</f>
        <v>Laptop Pro 14</v>
      </c>
      <c r="H322" s="1" t="str">
        <f>VLOOKUP(Table1[[#This Row],[SKU]],Table2[],3,FALSE)</f>
        <v>Elektronik</v>
      </c>
      <c r="I322" s="37">
        <f>INDEX(Table2[Harga Jual],MATCH(Table1[[#This Row],[SKU]],Table2[SKU],0))</f>
        <v>12000000</v>
      </c>
      <c r="J322" s="37">
        <f>VLOOKUP(Table1[[#This Row],[SKU]],Table2[],4,FALSE)</f>
        <v>8500000</v>
      </c>
      <c r="K322" s="37">
        <f>INDEX(Table3[Biaya Kirim per Unit],MATCH(Table1[[#This Row],[Kota]],Table3[Kota],))</f>
        <v>25000</v>
      </c>
      <c r="L322" s="39">
        <f>VLOOKUP(Table1[[#This Row],[Kode_Promo]],Table4[],2,FALSE)</f>
        <v>0.1</v>
      </c>
      <c r="M322" s="37">
        <f>Table1[[#This Row],[Jumlah_Unit]]*Table1[[#This Row],[Harga_Satuan]]</f>
        <v>36000000</v>
      </c>
      <c r="N322" s="37">
        <f>Table1[[#This Row],[Total_Pendapatan_Kotor]]*Table1[[#This Row],[Persentase_Diskon]]</f>
        <v>3600000</v>
      </c>
      <c r="O322" s="37">
        <f>Table1[[#This Row],[Total_Pendapatan_Kotor]]-Table1[[#This Row],[Potongan_Diskon]]</f>
        <v>32400000</v>
      </c>
      <c r="P322" s="37">
        <f>(Table1[[#This Row],[Jumlah_Unit]]*Table1[[#This Row],[HPP_Satuan]])+(Table1[[#This Row],[Jumlah_Unit]]*Table1[[#This Row],[Biaya_Kirim_Satuan]])</f>
        <v>25575000</v>
      </c>
      <c r="Q322" s="37">
        <f>Table1[[#This Row],[Total_Pendapatan_Bersih]]-Table1[[#This Row],[Total_Biaya]]</f>
        <v>6825000</v>
      </c>
      <c r="R322" s="5">
        <f>Table1[[#This Row],[Laba_Kotor]]/Table1[[#This Row],[Total_Pendapatan_Bersih]]</f>
        <v>0.21064814814814814</v>
      </c>
    </row>
    <row r="323" spans="1:18" ht="20.25" thickBot="1" x14ac:dyDescent="0.6">
      <c r="A323" s="3" t="s">
        <v>352</v>
      </c>
      <c r="B323" s="21">
        <v>45979</v>
      </c>
      <c r="C323" s="1" t="s">
        <v>23</v>
      </c>
      <c r="D323" s="1" t="s">
        <v>24</v>
      </c>
      <c r="E323" s="2">
        <v>8</v>
      </c>
      <c r="F323" s="1" t="s">
        <v>25</v>
      </c>
      <c r="G323" s="1" t="str">
        <f>INDEX(Table2[Nama Produk],MATCH(Table1[[#This Row],[SKU]],Table2[SKU],0))</f>
        <v>Mechanical Keyboard</v>
      </c>
      <c r="H323" s="1" t="str">
        <f>VLOOKUP(Table1[[#This Row],[SKU]],Table2[],3,FALSE)</f>
        <v>Aksesori</v>
      </c>
      <c r="I323" s="37">
        <f>INDEX(Table2[Harga Jual],MATCH(Table1[[#This Row],[SKU]],Table2[SKU],0))</f>
        <v>850000</v>
      </c>
      <c r="J323" s="37">
        <f>VLOOKUP(Table1[[#This Row],[SKU]],Table2[],4,FALSE)</f>
        <v>450000</v>
      </c>
      <c r="K323" s="37">
        <f>INDEX(Table3[Biaya Kirim per Unit],MATCH(Table1[[#This Row],[Kota]],Table3[Kota],))</f>
        <v>35000</v>
      </c>
      <c r="L323" s="39">
        <f>VLOOKUP(Table1[[#This Row],[Kode_Promo]],Table4[],2,FALSE)</f>
        <v>0.3</v>
      </c>
      <c r="M323" s="37">
        <f>Table1[[#This Row],[Jumlah_Unit]]*Table1[[#This Row],[Harga_Satuan]]</f>
        <v>6800000</v>
      </c>
      <c r="N323" s="37">
        <f>Table1[[#This Row],[Total_Pendapatan_Kotor]]*Table1[[#This Row],[Persentase_Diskon]]</f>
        <v>2040000</v>
      </c>
      <c r="O323" s="37">
        <f>Table1[[#This Row],[Total_Pendapatan_Kotor]]-Table1[[#This Row],[Potongan_Diskon]]</f>
        <v>4760000</v>
      </c>
      <c r="P323" s="37">
        <f>(Table1[[#This Row],[Jumlah_Unit]]*Table1[[#This Row],[HPP_Satuan]])+(Table1[[#This Row],[Jumlah_Unit]]*Table1[[#This Row],[Biaya_Kirim_Satuan]])</f>
        <v>3880000</v>
      </c>
      <c r="Q323" s="37">
        <f>Table1[[#This Row],[Total_Pendapatan_Bersih]]-Table1[[#This Row],[Total_Biaya]]</f>
        <v>880000</v>
      </c>
      <c r="R323" s="5">
        <f>Table1[[#This Row],[Laba_Kotor]]/Table1[[#This Row],[Total_Pendapatan_Bersih]]</f>
        <v>0.18487394957983194</v>
      </c>
    </row>
    <row r="324" spans="1:18" ht="20.25" thickBot="1" x14ac:dyDescent="0.6">
      <c r="A324" s="3" t="s">
        <v>353</v>
      </c>
      <c r="B324" s="21">
        <v>45980</v>
      </c>
      <c r="C324" s="1" t="s">
        <v>27</v>
      </c>
      <c r="D324" s="1" t="s">
        <v>28</v>
      </c>
      <c r="E324" s="2">
        <v>2</v>
      </c>
      <c r="F324" s="1" t="s">
        <v>29</v>
      </c>
      <c r="G324" s="1" t="str">
        <f>INDEX(Table2[Nama Produk],MATCH(Table1[[#This Row],[SKU]],Table2[SKU],0))</f>
        <v>Kursi Kerja Ergonomis</v>
      </c>
      <c r="H324" s="1" t="str">
        <f>VLOOKUP(Table1[[#This Row],[SKU]],Table2[],3,FALSE)</f>
        <v>Furnitur</v>
      </c>
      <c r="I324" s="37">
        <f>INDEX(Table2[Harga Jual],MATCH(Table1[[#This Row],[SKU]],Table2[SKU],0))</f>
        <v>2100000</v>
      </c>
      <c r="J324" s="37">
        <f>VLOOKUP(Table1[[#This Row],[SKU]],Table2[],4,FALSE)</f>
        <v>1200000</v>
      </c>
      <c r="K324" s="37">
        <f>INDEX(Table3[Biaya Kirim per Unit],MATCH(Table1[[#This Row],[Kota]],Table3[Kota],))</f>
        <v>50000</v>
      </c>
      <c r="L324" s="39">
        <f>VLOOKUP(Table1[[#This Row],[Kode_Promo]],Table4[],2,FALSE)</f>
        <v>0</v>
      </c>
      <c r="M324" s="37">
        <f>Table1[[#This Row],[Jumlah_Unit]]*Table1[[#This Row],[Harga_Satuan]]</f>
        <v>4200000</v>
      </c>
      <c r="N324" s="37">
        <f>Table1[[#This Row],[Total_Pendapatan_Kotor]]*Table1[[#This Row],[Persentase_Diskon]]</f>
        <v>0</v>
      </c>
      <c r="O324" s="37">
        <f>Table1[[#This Row],[Total_Pendapatan_Kotor]]-Table1[[#This Row],[Potongan_Diskon]]</f>
        <v>4200000</v>
      </c>
      <c r="P324" s="37">
        <f>(Table1[[#This Row],[Jumlah_Unit]]*Table1[[#This Row],[HPP_Satuan]])+(Table1[[#This Row],[Jumlah_Unit]]*Table1[[#This Row],[Biaya_Kirim_Satuan]])</f>
        <v>2500000</v>
      </c>
      <c r="Q324" s="37">
        <f>Table1[[#This Row],[Total_Pendapatan_Bersih]]-Table1[[#This Row],[Total_Biaya]]</f>
        <v>1700000</v>
      </c>
      <c r="R324" s="5">
        <f>Table1[[#This Row],[Laba_Kotor]]/Table1[[#This Row],[Total_Pendapatan_Bersih]]</f>
        <v>0.40476190476190477</v>
      </c>
    </row>
    <row r="325" spans="1:18" ht="20.25" thickBot="1" x14ac:dyDescent="0.6">
      <c r="A325" s="3" t="s">
        <v>354</v>
      </c>
      <c r="B325" s="21">
        <v>45981</v>
      </c>
      <c r="C325" s="1" t="s">
        <v>31</v>
      </c>
      <c r="D325" s="1" t="s">
        <v>32</v>
      </c>
      <c r="E325" s="2">
        <v>4</v>
      </c>
      <c r="F325" s="1" t="s">
        <v>33</v>
      </c>
      <c r="G325" s="1" t="str">
        <f>INDEX(Table2[Nama Produk],MATCH(Table1[[#This Row],[SKU]],Table2[SKU],0))</f>
        <v>Monitor Ergonomis 27</v>
      </c>
      <c r="H325" s="1" t="str">
        <f>VLOOKUP(Table1[[#This Row],[SKU]],Table2[],3,FALSE)</f>
        <v>Elektronik</v>
      </c>
      <c r="I325" s="37">
        <f>INDEX(Table2[Harga Jual],MATCH(Table1[[#This Row],[SKU]],Table2[SKU],0))</f>
        <v>3400000</v>
      </c>
      <c r="J325" s="37">
        <f>VLOOKUP(Table1[[#This Row],[SKU]],Table2[],4,FALSE)</f>
        <v>2100000</v>
      </c>
      <c r="K325" s="37">
        <f>INDEX(Table3[Biaya Kirim per Unit],MATCH(Table1[[#This Row],[Kota]],Table3[Kota],))</f>
        <v>65000</v>
      </c>
      <c r="L325" s="39">
        <f>VLOOKUP(Table1[[#This Row],[Kode_Promo]],Table4[],2,FALSE)</f>
        <v>0.2</v>
      </c>
      <c r="M325" s="37">
        <f>Table1[[#This Row],[Jumlah_Unit]]*Table1[[#This Row],[Harga_Satuan]]</f>
        <v>13600000</v>
      </c>
      <c r="N325" s="37">
        <f>Table1[[#This Row],[Total_Pendapatan_Kotor]]*Table1[[#This Row],[Persentase_Diskon]]</f>
        <v>2720000</v>
      </c>
      <c r="O325" s="37">
        <f>Table1[[#This Row],[Total_Pendapatan_Kotor]]-Table1[[#This Row],[Potongan_Diskon]]</f>
        <v>10880000</v>
      </c>
      <c r="P325" s="37">
        <f>(Table1[[#This Row],[Jumlah_Unit]]*Table1[[#This Row],[HPP_Satuan]])+(Table1[[#This Row],[Jumlah_Unit]]*Table1[[#This Row],[Biaya_Kirim_Satuan]])</f>
        <v>8660000</v>
      </c>
      <c r="Q325" s="37">
        <f>Table1[[#This Row],[Total_Pendapatan_Bersih]]-Table1[[#This Row],[Total_Biaya]]</f>
        <v>2220000</v>
      </c>
      <c r="R325" s="5">
        <f>Table1[[#This Row],[Laba_Kotor]]/Table1[[#This Row],[Total_Pendapatan_Bersih]]</f>
        <v>0.20404411764705882</v>
      </c>
    </row>
    <row r="326" spans="1:18" ht="20.25" thickBot="1" x14ac:dyDescent="0.6">
      <c r="A326" s="3" t="s">
        <v>355</v>
      </c>
      <c r="B326" s="21">
        <v>45982</v>
      </c>
      <c r="C326" s="1" t="s">
        <v>19</v>
      </c>
      <c r="D326" s="1" t="s">
        <v>35</v>
      </c>
      <c r="E326" s="2">
        <v>1</v>
      </c>
      <c r="F326" s="1" t="s">
        <v>21</v>
      </c>
      <c r="G326" s="1" t="str">
        <f>INDEX(Table2[Nama Produk],MATCH(Table1[[#This Row],[SKU]],Table2[SKU],0))</f>
        <v>Meja Adjustable</v>
      </c>
      <c r="H326" s="1" t="str">
        <f>VLOOKUP(Table1[[#This Row],[SKU]],Table2[],3,FALSE)</f>
        <v>Furnitur</v>
      </c>
      <c r="I326" s="37">
        <f>INDEX(Table2[Harga Jual],MATCH(Table1[[#This Row],[SKU]],Table2[SKU],0))</f>
        <v>4200000</v>
      </c>
      <c r="J326" s="37">
        <f>VLOOKUP(Table1[[#This Row],[SKU]],Table2[],4,FALSE)</f>
        <v>2400000</v>
      </c>
      <c r="K326" s="37">
        <f>INDEX(Table3[Biaya Kirim per Unit],MATCH(Table1[[#This Row],[Kota]],Table3[Kota],))</f>
        <v>25000</v>
      </c>
      <c r="L326" s="39">
        <f>VLOOKUP(Table1[[#This Row],[Kode_Promo]],Table4[],2,FALSE)</f>
        <v>0.1</v>
      </c>
      <c r="M326" s="37">
        <f>Table1[[#This Row],[Jumlah_Unit]]*Table1[[#This Row],[Harga_Satuan]]</f>
        <v>4200000</v>
      </c>
      <c r="N326" s="37">
        <f>Table1[[#This Row],[Total_Pendapatan_Kotor]]*Table1[[#This Row],[Persentase_Diskon]]</f>
        <v>420000</v>
      </c>
      <c r="O326" s="37">
        <f>Table1[[#This Row],[Total_Pendapatan_Kotor]]-Table1[[#This Row],[Potongan_Diskon]]</f>
        <v>3780000</v>
      </c>
      <c r="P326" s="37">
        <f>(Table1[[#This Row],[Jumlah_Unit]]*Table1[[#This Row],[HPP_Satuan]])+(Table1[[#This Row],[Jumlah_Unit]]*Table1[[#This Row],[Biaya_Kirim_Satuan]])</f>
        <v>2425000</v>
      </c>
      <c r="Q326" s="37">
        <f>Table1[[#This Row],[Total_Pendapatan_Bersih]]-Table1[[#This Row],[Total_Biaya]]</f>
        <v>1355000</v>
      </c>
      <c r="R326" s="5">
        <f>Table1[[#This Row],[Laba_Kotor]]/Table1[[#This Row],[Total_Pendapatan_Bersih]]</f>
        <v>0.35846560846560849</v>
      </c>
    </row>
    <row r="327" spans="1:18" ht="20.25" thickBot="1" x14ac:dyDescent="0.6">
      <c r="A327" s="3" t="s">
        <v>356</v>
      </c>
      <c r="B327" s="21">
        <v>45983</v>
      </c>
      <c r="C327" s="1" t="s">
        <v>23</v>
      </c>
      <c r="D327" s="1" t="s">
        <v>20</v>
      </c>
      <c r="E327" s="2">
        <v>2</v>
      </c>
      <c r="F327" s="1" t="s">
        <v>29</v>
      </c>
      <c r="G327" s="1" t="str">
        <f>INDEX(Table2[Nama Produk],MATCH(Table1[[#This Row],[SKU]],Table2[SKU],0))</f>
        <v>Laptop Pro 14</v>
      </c>
      <c r="H327" s="1" t="str">
        <f>VLOOKUP(Table1[[#This Row],[SKU]],Table2[],3,FALSE)</f>
        <v>Elektronik</v>
      </c>
      <c r="I327" s="37">
        <f>INDEX(Table2[Harga Jual],MATCH(Table1[[#This Row],[SKU]],Table2[SKU],0))</f>
        <v>12000000</v>
      </c>
      <c r="J327" s="37">
        <f>VLOOKUP(Table1[[#This Row],[SKU]],Table2[],4,FALSE)</f>
        <v>8500000</v>
      </c>
      <c r="K327" s="37">
        <f>INDEX(Table3[Biaya Kirim per Unit],MATCH(Table1[[#This Row],[Kota]],Table3[Kota],))</f>
        <v>35000</v>
      </c>
      <c r="L327" s="39">
        <f>VLOOKUP(Table1[[#This Row],[Kode_Promo]],Table4[],2,FALSE)</f>
        <v>0</v>
      </c>
      <c r="M327" s="37">
        <f>Table1[[#This Row],[Jumlah_Unit]]*Table1[[#This Row],[Harga_Satuan]]</f>
        <v>24000000</v>
      </c>
      <c r="N327" s="37">
        <f>Table1[[#This Row],[Total_Pendapatan_Kotor]]*Table1[[#This Row],[Persentase_Diskon]]</f>
        <v>0</v>
      </c>
      <c r="O327" s="37">
        <f>Table1[[#This Row],[Total_Pendapatan_Kotor]]-Table1[[#This Row],[Potongan_Diskon]]</f>
        <v>24000000</v>
      </c>
      <c r="P327" s="37">
        <f>(Table1[[#This Row],[Jumlah_Unit]]*Table1[[#This Row],[HPP_Satuan]])+(Table1[[#This Row],[Jumlah_Unit]]*Table1[[#This Row],[Biaya_Kirim_Satuan]])</f>
        <v>17070000</v>
      </c>
      <c r="Q327" s="37">
        <f>Table1[[#This Row],[Total_Pendapatan_Bersih]]-Table1[[#This Row],[Total_Biaya]]</f>
        <v>6930000</v>
      </c>
      <c r="R327" s="5">
        <f>Table1[[#This Row],[Laba_Kotor]]/Table1[[#This Row],[Total_Pendapatan_Bersih]]</f>
        <v>0.28875000000000001</v>
      </c>
    </row>
    <row r="328" spans="1:18" ht="20.25" thickBot="1" x14ac:dyDescent="0.6">
      <c r="A328" s="3" t="s">
        <v>357</v>
      </c>
      <c r="B328" s="21">
        <v>45984</v>
      </c>
      <c r="C328" s="1" t="s">
        <v>27</v>
      </c>
      <c r="D328" s="1" t="s">
        <v>24</v>
      </c>
      <c r="E328" s="2">
        <v>5</v>
      </c>
      <c r="F328" s="1" t="s">
        <v>25</v>
      </c>
      <c r="G328" s="1" t="str">
        <f>INDEX(Table2[Nama Produk],MATCH(Table1[[#This Row],[SKU]],Table2[SKU],0))</f>
        <v>Mechanical Keyboard</v>
      </c>
      <c r="H328" s="1" t="str">
        <f>VLOOKUP(Table1[[#This Row],[SKU]],Table2[],3,FALSE)</f>
        <v>Aksesori</v>
      </c>
      <c r="I328" s="37">
        <f>INDEX(Table2[Harga Jual],MATCH(Table1[[#This Row],[SKU]],Table2[SKU],0))</f>
        <v>850000</v>
      </c>
      <c r="J328" s="37">
        <f>VLOOKUP(Table1[[#This Row],[SKU]],Table2[],4,FALSE)</f>
        <v>450000</v>
      </c>
      <c r="K328" s="37">
        <f>INDEX(Table3[Biaya Kirim per Unit],MATCH(Table1[[#This Row],[Kota]],Table3[Kota],))</f>
        <v>50000</v>
      </c>
      <c r="L328" s="39">
        <f>VLOOKUP(Table1[[#This Row],[Kode_Promo]],Table4[],2,FALSE)</f>
        <v>0.3</v>
      </c>
      <c r="M328" s="37">
        <f>Table1[[#This Row],[Jumlah_Unit]]*Table1[[#This Row],[Harga_Satuan]]</f>
        <v>4250000</v>
      </c>
      <c r="N328" s="37">
        <f>Table1[[#This Row],[Total_Pendapatan_Kotor]]*Table1[[#This Row],[Persentase_Diskon]]</f>
        <v>1275000</v>
      </c>
      <c r="O328" s="37">
        <f>Table1[[#This Row],[Total_Pendapatan_Kotor]]-Table1[[#This Row],[Potongan_Diskon]]</f>
        <v>2975000</v>
      </c>
      <c r="P328" s="37">
        <f>(Table1[[#This Row],[Jumlah_Unit]]*Table1[[#This Row],[HPP_Satuan]])+(Table1[[#This Row],[Jumlah_Unit]]*Table1[[#This Row],[Biaya_Kirim_Satuan]])</f>
        <v>2500000</v>
      </c>
      <c r="Q328" s="37">
        <f>Table1[[#This Row],[Total_Pendapatan_Bersih]]-Table1[[#This Row],[Total_Biaya]]</f>
        <v>475000</v>
      </c>
      <c r="R328" s="5">
        <f>Table1[[#This Row],[Laba_Kotor]]/Table1[[#This Row],[Total_Pendapatan_Bersih]]</f>
        <v>0.15966386554621848</v>
      </c>
    </row>
    <row r="329" spans="1:18" ht="20.25" thickBot="1" x14ac:dyDescent="0.6">
      <c r="A329" s="3" t="s">
        <v>358</v>
      </c>
      <c r="B329" s="21">
        <v>45985</v>
      </c>
      <c r="C329" s="1" t="s">
        <v>31</v>
      </c>
      <c r="D329" s="1" t="s">
        <v>35</v>
      </c>
      <c r="E329" s="2">
        <v>4</v>
      </c>
      <c r="F329" s="1" t="s">
        <v>33</v>
      </c>
      <c r="G329" s="1" t="str">
        <f>INDEX(Table2[Nama Produk],MATCH(Table1[[#This Row],[SKU]],Table2[SKU],0))</f>
        <v>Meja Adjustable</v>
      </c>
      <c r="H329" s="1" t="str">
        <f>VLOOKUP(Table1[[#This Row],[SKU]],Table2[],3,FALSE)</f>
        <v>Furnitur</v>
      </c>
      <c r="I329" s="37">
        <f>INDEX(Table2[Harga Jual],MATCH(Table1[[#This Row],[SKU]],Table2[SKU],0))</f>
        <v>4200000</v>
      </c>
      <c r="J329" s="37">
        <f>VLOOKUP(Table1[[#This Row],[SKU]],Table2[],4,FALSE)</f>
        <v>2400000</v>
      </c>
      <c r="K329" s="37">
        <f>INDEX(Table3[Biaya Kirim per Unit],MATCH(Table1[[#This Row],[Kota]],Table3[Kota],))</f>
        <v>65000</v>
      </c>
      <c r="L329" s="39">
        <f>VLOOKUP(Table1[[#This Row],[Kode_Promo]],Table4[],2,FALSE)</f>
        <v>0.2</v>
      </c>
      <c r="M329" s="37">
        <f>Table1[[#This Row],[Jumlah_Unit]]*Table1[[#This Row],[Harga_Satuan]]</f>
        <v>16800000</v>
      </c>
      <c r="N329" s="37">
        <f>Table1[[#This Row],[Total_Pendapatan_Kotor]]*Table1[[#This Row],[Persentase_Diskon]]</f>
        <v>3360000</v>
      </c>
      <c r="O329" s="37">
        <f>Table1[[#This Row],[Total_Pendapatan_Kotor]]-Table1[[#This Row],[Potongan_Diskon]]</f>
        <v>13440000</v>
      </c>
      <c r="P329" s="37">
        <f>(Table1[[#This Row],[Jumlah_Unit]]*Table1[[#This Row],[HPP_Satuan]])+(Table1[[#This Row],[Jumlah_Unit]]*Table1[[#This Row],[Biaya_Kirim_Satuan]])</f>
        <v>9860000</v>
      </c>
      <c r="Q329" s="37">
        <f>Table1[[#This Row],[Total_Pendapatan_Bersih]]-Table1[[#This Row],[Total_Biaya]]</f>
        <v>3580000</v>
      </c>
      <c r="R329" s="5">
        <f>Table1[[#This Row],[Laba_Kotor]]/Table1[[#This Row],[Total_Pendapatan_Bersih]]</f>
        <v>0.26636904761904762</v>
      </c>
    </row>
    <row r="330" spans="1:18" ht="20.25" thickBot="1" x14ac:dyDescent="0.6">
      <c r="A330" s="3" t="s">
        <v>359</v>
      </c>
      <c r="B330" s="21">
        <v>45986</v>
      </c>
      <c r="C330" s="1" t="s">
        <v>19</v>
      </c>
      <c r="D330" s="1" t="s">
        <v>32</v>
      </c>
      <c r="E330" s="2">
        <v>2</v>
      </c>
      <c r="F330" s="1" t="s">
        <v>21</v>
      </c>
      <c r="G330" s="1" t="str">
        <f>INDEX(Table2[Nama Produk],MATCH(Table1[[#This Row],[SKU]],Table2[SKU],0))</f>
        <v>Monitor Ergonomis 27</v>
      </c>
      <c r="H330" s="1" t="str">
        <f>VLOOKUP(Table1[[#This Row],[SKU]],Table2[],3,FALSE)</f>
        <v>Elektronik</v>
      </c>
      <c r="I330" s="37">
        <f>INDEX(Table2[Harga Jual],MATCH(Table1[[#This Row],[SKU]],Table2[SKU],0))</f>
        <v>3400000</v>
      </c>
      <c r="J330" s="37">
        <f>VLOOKUP(Table1[[#This Row],[SKU]],Table2[],4,FALSE)</f>
        <v>2100000</v>
      </c>
      <c r="K330" s="37">
        <f>INDEX(Table3[Biaya Kirim per Unit],MATCH(Table1[[#This Row],[Kota]],Table3[Kota],))</f>
        <v>25000</v>
      </c>
      <c r="L330" s="39">
        <f>VLOOKUP(Table1[[#This Row],[Kode_Promo]],Table4[],2,FALSE)</f>
        <v>0.1</v>
      </c>
      <c r="M330" s="37">
        <f>Table1[[#This Row],[Jumlah_Unit]]*Table1[[#This Row],[Harga_Satuan]]</f>
        <v>6800000</v>
      </c>
      <c r="N330" s="37">
        <f>Table1[[#This Row],[Total_Pendapatan_Kotor]]*Table1[[#This Row],[Persentase_Diskon]]</f>
        <v>680000</v>
      </c>
      <c r="O330" s="37">
        <f>Table1[[#This Row],[Total_Pendapatan_Kotor]]-Table1[[#This Row],[Potongan_Diskon]]</f>
        <v>6120000</v>
      </c>
      <c r="P330" s="37">
        <f>(Table1[[#This Row],[Jumlah_Unit]]*Table1[[#This Row],[HPP_Satuan]])+(Table1[[#This Row],[Jumlah_Unit]]*Table1[[#This Row],[Biaya_Kirim_Satuan]])</f>
        <v>4250000</v>
      </c>
      <c r="Q330" s="37">
        <f>Table1[[#This Row],[Total_Pendapatan_Bersih]]-Table1[[#This Row],[Total_Biaya]]</f>
        <v>1870000</v>
      </c>
      <c r="R330" s="5">
        <f>Table1[[#This Row],[Laba_Kotor]]/Table1[[#This Row],[Total_Pendapatan_Bersih]]</f>
        <v>0.30555555555555558</v>
      </c>
    </row>
    <row r="331" spans="1:18" ht="20.25" thickBot="1" x14ac:dyDescent="0.6">
      <c r="A331" s="3" t="s">
        <v>360</v>
      </c>
      <c r="B331" s="21">
        <v>45987</v>
      </c>
      <c r="C331" s="1" t="s">
        <v>23</v>
      </c>
      <c r="D331" s="1" t="s">
        <v>28</v>
      </c>
      <c r="E331" s="2">
        <v>1</v>
      </c>
      <c r="F331" s="1" t="s">
        <v>25</v>
      </c>
      <c r="G331" s="1" t="str">
        <f>INDEX(Table2[Nama Produk],MATCH(Table1[[#This Row],[SKU]],Table2[SKU],0))</f>
        <v>Kursi Kerja Ergonomis</v>
      </c>
      <c r="H331" s="1" t="str">
        <f>VLOOKUP(Table1[[#This Row],[SKU]],Table2[],3,FALSE)</f>
        <v>Furnitur</v>
      </c>
      <c r="I331" s="37">
        <f>INDEX(Table2[Harga Jual],MATCH(Table1[[#This Row],[SKU]],Table2[SKU],0))</f>
        <v>2100000</v>
      </c>
      <c r="J331" s="37">
        <f>VLOOKUP(Table1[[#This Row],[SKU]],Table2[],4,FALSE)</f>
        <v>1200000</v>
      </c>
      <c r="K331" s="37">
        <f>INDEX(Table3[Biaya Kirim per Unit],MATCH(Table1[[#This Row],[Kota]],Table3[Kota],))</f>
        <v>35000</v>
      </c>
      <c r="L331" s="39">
        <f>VLOOKUP(Table1[[#This Row],[Kode_Promo]],Table4[],2,FALSE)</f>
        <v>0.3</v>
      </c>
      <c r="M331" s="37">
        <f>Table1[[#This Row],[Jumlah_Unit]]*Table1[[#This Row],[Harga_Satuan]]</f>
        <v>2100000</v>
      </c>
      <c r="N331" s="37">
        <f>Table1[[#This Row],[Total_Pendapatan_Kotor]]*Table1[[#This Row],[Persentase_Diskon]]</f>
        <v>630000</v>
      </c>
      <c r="O331" s="37">
        <f>Table1[[#This Row],[Total_Pendapatan_Kotor]]-Table1[[#This Row],[Potongan_Diskon]]</f>
        <v>1470000</v>
      </c>
      <c r="P331" s="37">
        <f>(Table1[[#This Row],[Jumlah_Unit]]*Table1[[#This Row],[HPP_Satuan]])+(Table1[[#This Row],[Jumlah_Unit]]*Table1[[#This Row],[Biaya_Kirim_Satuan]])</f>
        <v>1235000</v>
      </c>
      <c r="Q331" s="37">
        <f>Table1[[#This Row],[Total_Pendapatan_Bersih]]-Table1[[#This Row],[Total_Biaya]]</f>
        <v>235000</v>
      </c>
      <c r="R331" s="5">
        <f>Table1[[#This Row],[Laba_Kotor]]/Table1[[#This Row],[Total_Pendapatan_Bersih]]</f>
        <v>0.1598639455782313</v>
      </c>
    </row>
    <row r="332" spans="1:18" ht="20.25" thickBot="1" x14ac:dyDescent="0.6">
      <c r="A332" s="3" t="s">
        <v>361</v>
      </c>
      <c r="B332" s="21">
        <v>45988</v>
      </c>
      <c r="C332" s="1" t="s">
        <v>27</v>
      </c>
      <c r="D332" s="1" t="s">
        <v>20</v>
      </c>
      <c r="E332" s="2">
        <v>4</v>
      </c>
      <c r="F332" s="1" t="s">
        <v>29</v>
      </c>
      <c r="G332" s="1" t="str">
        <f>INDEX(Table2[Nama Produk],MATCH(Table1[[#This Row],[SKU]],Table2[SKU],0))</f>
        <v>Laptop Pro 14</v>
      </c>
      <c r="H332" s="1" t="str">
        <f>VLOOKUP(Table1[[#This Row],[SKU]],Table2[],3,FALSE)</f>
        <v>Elektronik</v>
      </c>
      <c r="I332" s="37">
        <f>INDEX(Table2[Harga Jual],MATCH(Table1[[#This Row],[SKU]],Table2[SKU],0))</f>
        <v>12000000</v>
      </c>
      <c r="J332" s="37">
        <f>VLOOKUP(Table1[[#This Row],[SKU]],Table2[],4,FALSE)</f>
        <v>8500000</v>
      </c>
      <c r="K332" s="37">
        <f>INDEX(Table3[Biaya Kirim per Unit],MATCH(Table1[[#This Row],[Kota]],Table3[Kota],))</f>
        <v>50000</v>
      </c>
      <c r="L332" s="39">
        <f>VLOOKUP(Table1[[#This Row],[Kode_Promo]],Table4[],2,FALSE)</f>
        <v>0</v>
      </c>
      <c r="M332" s="37">
        <f>Table1[[#This Row],[Jumlah_Unit]]*Table1[[#This Row],[Harga_Satuan]]</f>
        <v>48000000</v>
      </c>
      <c r="N332" s="37">
        <f>Table1[[#This Row],[Total_Pendapatan_Kotor]]*Table1[[#This Row],[Persentase_Diskon]]</f>
        <v>0</v>
      </c>
      <c r="O332" s="37">
        <f>Table1[[#This Row],[Total_Pendapatan_Kotor]]-Table1[[#This Row],[Potongan_Diskon]]</f>
        <v>48000000</v>
      </c>
      <c r="P332" s="37">
        <f>(Table1[[#This Row],[Jumlah_Unit]]*Table1[[#This Row],[HPP_Satuan]])+(Table1[[#This Row],[Jumlah_Unit]]*Table1[[#This Row],[Biaya_Kirim_Satuan]])</f>
        <v>34200000</v>
      </c>
      <c r="Q332" s="37">
        <f>Table1[[#This Row],[Total_Pendapatan_Bersih]]-Table1[[#This Row],[Total_Biaya]]</f>
        <v>13800000</v>
      </c>
      <c r="R332" s="5">
        <f>Table1[[#This Row],[Laba_Kotor]]/Table1[[#This Row],[Total_Pendapatan_Bersih]]</f>
        <v>0.28749999999999998</v>
      </c>
    </row>
    <row r="333" spans="1:18" ht="20.25" thickBot="1" x14ac:dyDescent="0.6">
      <c r="A333" s="3" t="s">
        <v>362</v>
      </c>
      <c r="B333" s="21">
        <v>45989</v>
      </c>
      <c r="C333" s="1" t="s">
        <v>31</v>
      </c>
      <c r="D333" s="1" t="s">
        <v>24</v>
      </c>
      <c r="E333" s="2">
        <v>6</v>
      </c>
      <c r="F333" s="1" t="s">
        <v>33</v>
      </c>
      <c r="G333" s="1" t="str">
        <f>INDEX(Table2[Nama Produk],MATCH(Table1[[#This Row],[SKU]],Table2[SKU],0))</f>
        <v>Mechanical Keyboard</v>
      </c>
      <c r="H333" s="1" t="str">
        <f>VLOOKUP(Table1[[#This Row],[SKU]],Table2[],3,FALSE)</f>
        <v>Aksesori</v>
      </c>
      <c r="I333" s="37">
        <f>INDEX(Table2[Harga Jual],MATCH(Table1[[#This Row],[SKU]],Table2[SKU],0))</f>
        <v>850000</v>
      </c>
      <c r="J333" s="37">
        <f>VLOOKUP(Table1[[#This Row],[SKU]],Table2[],4,FALSE)</f>
        <v>450000</v>
      </c>
      <c r="K333" s="37">
        <f>INDEX(Table3[Biaya Kirim per Unit],MATCH(Table1[[#This Row],[Kota]],Table3[Kota],))</f>
        <v>65000</v>
      </c>
      <c r="L333" s="39">
        <f>VLOOKUP(Table1[[#This Row],[Kode_Promo]],Table4[],2,FALSE)</f>
        <v>0.2</v>
      </c>
      <c r="M333" s="37">
        <f>Table1[[#This Row],[Jumlah_Unit]]*Table1[[#This Row],[Harga_Satuan]]</f>
        <v>5100000</v>
      </c>
      <c r="N333" s="37">
        <f>Table1[[#This Row],[Total_Pendapatan_Kotor]]*Table1[[#This Row],[Persentase_Diskon]]</f>
        <v>1020000</v>
      </c>
      <c r="O333" s="37">
        <f>Table1[[#This Row],[Total_Pendapatan_Kotor]]-Table1[[#This Row],[Potongan_Diskon]]</f>
        <v>4080000</v>
      </c>
      <c r="P333" s="37">
        <f>(Table1[[#This Row],[Jumlah_Unit]]*Table1[[#This Row],[HPP_Satuan]])+(Table1[[#This Row],[Jumlah_Unit]]*Table1[[#This Row],[Biaya_Kirim_Satuan]])</f>
        <v>3090000</v>
      </c>
      <c r="Q333" s="37">
        <f>Table1[[#This Row],[Total_Pendapatan_Bersih]]-Table1[[#This Row],[Total_Biaya]]</f>
        <v>990000</v>
      </c>
      <c r="R333" s="5">
        <f>Table1[[#This Row],[Laba_Kotor]]/Table1[[#This Row],[Total_Pendapatan_Bersih]]</f>
        <v>0.24264705882352941</v>
      </c>
    </row>
    <row r="334" spans="1:18" ht="20.25" thickBot="1" x14ac:dyDescent="0.6">
      <c r="A334" s="3" t="s">
        <v>363</v>
      </c>
      <c r="B334" s="21">
        <v>45990</v>
      </c>
      <c r="C334" s="1" t="s">
        <v>19</v>
      </c>
      <c r="D334" s="1" t="s">
        <v>28</v>
      </c>
      <c r="E334" s="2">
        <v>3</v>
      </c>
      <c r="F334" s="1" t="s">
        <v>21</v>
      </c>
      <c r="G334" s="1" t="str">
        <f>INDEX(Table2[Nama Produk],MATCH(Table1[[#This Row],[SKU]],Table2[SKU],0))</f>
        <v>Kursi Kerja Ergonomis</v>
      </c>
      <c r="H334" s="1" t="str">
        <f>VLOOKUP(Table1[[#This Row],[SKU]],Table2[],3,FALSE)</f>
        <v>Furnitur</v>
      </c>
      <c r="I334" s="37">
        <f>INDEX(Table2[Harga Jual],MATCH(Table1[[#This Row],[SKU]],Table2[SKU],0))</f>
        <v>2100000</v>
      </c>
      <c r="J334" s="37">
        <f>VLOOKUP(Table1[[#This Row],[SKU]],Table2[],4,FALSE)</f>
        <v>1200000</v>
      </c>
      <c r="K334" s="37">
        <f>INDEX(Table3[Biaya Kirim per Unit],MATCH(Table1[[#This Row],[Kota]],Table3[Kota],))</f>
        <v>25000</v>
      </c>
      <c r="L334" s="39">
        <f>VLOOKUP(Table1[[#This Row],[Kode_Promo]],Table4[],2,FALSE)</f>
        <v>0.1</v>
      </c>
      <c r="M334" s="37">
        <f>Table1[[#This Row],[Jumlah_Unit]]*Table1[[#This Row],[Harga_Satuan]]</f>
        <v>6300000</v>
      </c>
      <c r="N334" s="37">
        <f>Table1[[#This Row],[Total_Pendapatan_Kotor]]*Table1[[#This Row],[Persentase_Diskon]]</f>
        <v>630000</v>
      </c>
      <c r="O334" s="37">
        <f>Table1[[#This Row],[Total_Pendapatan_Kotor]]-Table1[[#This Row],[Potongan_Diskon]]</f>
        <v>5670000</v>
      </c>
      <c r="P334" s="37">
        <f>(Table1[[#This Row],[Jumlah_Unit]]*Table1[[#This Row],[HPP_Satuan]])+(Table1[[#This Row],[Jumlah_Unit]]*Table1[[#This Row],[Biaya_Kirim_Satuan]])</f>
        <v>3675000</v>
      </c>
      <c r="Q334" s="37">
        <f>Table1[[#This Row],[Total_Pendapatan_Bersih]]-Table1[[#This Row],[Total_Biaya]]</f>
        <v>1995000</v>
      </c>
      <c r="R334" s="5">
        <f>Table1[[#This Row],[Laba_Kotor]]/Table1[[#This Row],[Total_Pendapatan_Bersih]]</f>
        <v>0.35185185185185186</v>
      </c>
    </row>
    <row r="335" spans="1:18" ht="20.25" thickBot="1" x14ac:dyDescent="0.6">
      <c r="A335" s="3" t="s">
        <v>364</v>
      </c>
      <c r="B335" s="21">
        <v>45991</v>
      </c>
      <c r="C335" s="1" t="s">
        <v>23</v>
      </c>
      <c r="D335" s="1" t="s">
        <v>32</v>
      </c>
      <c r="E335" s="2">
        <v>5</v>
      </c>
      <c r="F335" s="1" t="s">
        <v>25</v>
      </c>
      <c r="G335" s="1" t="str">
        <f>INDEX(Table2[Nama Produk],MATCH(Table1[[#This Row],[SKU]],Table2[SKU],0))</f>
        <v>Monitor Ergonomis 27</v>
      </c>
      <c r="H335" s="1" t="str">
        <f>VLOOKUP(Table1[[#This Row],[SKU]],Table2[],3,FALSE)</f>
        <v>Elektronik</v>
      </c>
      <c r="I335" s="37">
        <f>INDEX(Table2[Harga Jual],MATCH(Table1[[#This Row],[SKU]],Table2[SKU],0))</f>
        <v>3400000</v>
      </c>
      <c r="J335" s="37">
        <f>VLOOKUP(Table1[[#This Row],[SKU]],Table2[],4,FALSE)</f>
        <v>2100000</v>
      </c>
      <c r="K335" s="37">
        <f>INDEX(Table3[Biaya Kirim per Unit],MATCH(Table1[[#This Row],[Kota]],Table3[Kota],))</f>
        <v>35000</v>
      </c>
      <c r="L335" s="39">
        <f>VLOOKUP(Table1[[#This Row],[Kode_Promo]],Table4[],2,FALSE)</f>
        <v>0.3</v>
      </c>
      <c r="M335" s="37">
        <f>Table1[[#This Row],[Jumlah_Unit]]*Table1[[#This Row],[Harga_Satuan]]</f>
        <v>17000000</v>
      </c>
      <c r="N335" s="37">
        <f>Table1[[#This Row],[Total_Pendapatan_Kotor]]*Table1[[#This Row],[Persentase_Diskon]]</f>
        <v>5100000</v>
      </c>
      <c r="O335" s="37">
        <f>Table1[[#This Row],[Total_Pendapatan_Kotor]]-Table1[[#This Row],[Potongan_Diskon]]</f>
        <v>11900000</v>
      </c>
      <c r="P335" s="37">
        <f>(Table1[[#This Row],[Jumlah_Unit]]*Table1[[#This Row],[HPP_Satuan]])+(Table1[[#This Row],[Jumlah_Unit]]*Table1[[#This Row],[Biaya_Kirim_Satuan]])</f>
        <v>10675000</v>
      </c>
      <c r="Q335" s="37">
        <f>Table1[[#This Row],[Total_Pendapatan_Bersih]]-Table1[[#This Row],[Total_Biaya]]</f>
        <v>1225000</v>
      </c>
      <c r="R335" s="5">
        <f>Table1[[#This Row],[Laba_Kotor]]/Table1[[#This Row],[Total_Pendapatan_Bersih]]</f>
        <v>0.10294117647058823</v>
      </c>
    </row>
    <row r="336" spans="1:18" ht="20.25" thickBot="1" x14ac:dyDescent="0.6">
      <c r="A336" s="3" t="s">
        <v>365</v>
      </c>
      <c r="B336" s="21">
        <v>45992</v>
      </c>
      <c r="C336" s="1" t="s">
        <v>27</v>
      </c>
      <c r="D336" s="1" t="s">
        <v>35</v>
      </c>
      <c r="E336" s="2">
        <v>2</v>
      </c>
      <c r="F336" s="1" t="s">
        <v>29</v>
      </c>
      <c r="G336" s="1" t="str">
        <f>INDEX(Table2[Nama Produk],MATCH(Table1[[#This Row],[SKU]],Table2[SKU],0))</f>
        <v>Meja Adjustable</v>
      </c>
      <c r="H336" s="1" t="str">
        <f>VLOOKUP(Table1[[#This Row],[SKU]],Table2[],3,FALSE)</f>
        <v>Furnitur</v>
      </c>
      <c r="I336" s="37">
        <f>INDEX(Table2[Harga Jual],MATCH(Table1[[#This Row],[SKU]],Table2[SKU],0))</f>
        <v>4200000</v>
      </c>
      <c r="J336" s="37">
        <f>VLOOKUP(Table1[[#This Row],[SKU]],Table2[],4,FALSE)</f>
        <v>2400000</v>
      </c>
      <c r="K336" s="37">
        <f>INDEX(Table3[Biaya Kirim per Unit],MATCH(Table1[[#This Row],[Kota]],Table3[Kota],))</f>
        <v>50000</v>
      </c>
      <c r="L336" s="39">
        <f>VLOOKUP(Table1[[#This Row],[Kode_Promo]],Table4[],2,FALSE)</f>
        <v>0</v>
      </c>
      <c r="M336" s="37">
        <f>Table1[[#This Row],[Jumlah_Unit]]*Table1[[#This Row],[Harga_Satuan]]</f>
        <v>8400000</v>
      </c>
      <c r="N336" s="37">
        <f>Table1[[#This Row],[Total_Pendapatan_Kotor]]*Table1[[#This Row],[Persentase_Diskon]]</f>
        <v>0</v>
      </c>
      <c r="O336" s="37">
        <f>Table1[[#This Row],[Total_Pendapatan_Kotor]]-Table1[[#This Row],[Potongan_Diskon]]</f>
        <v>8400000</v>
      </c>
      <c r="P336" s="37">
        <f>(Table1[[#This Row],[Jumlah_Unit]]*Table1[[#This Row],[HPP_Satuan]])+(Table1[[#This Row],[Jumlah_Unit]]*Table1[[#This Row],[Biaya_Kirim_Satuan]])</f>
        <v>4900000</v>
      </c>
      <c r="Q336" s="37">
        <f>Table1[[#This Row],[Total_Pendapatan_Bersih]]-Table1[[#This Row],[Total_Biaya]]</f>
        <v>3500000</v>
      </c>
      <c r="R336" s="5">
        <f>Table1[[#This Row],[Laba_Kotor]]/Table1[[#This Row],[Total_Pendapatan_Bersih]]</f>
        <v>0.41666666666666669</v>
      </c>
    </row>
    <row r="337" spans="1:18" ht="20.25" thickBot="1" x14ac:dyDescent="0.6">
      <c r="A337" s="3" t="s">
        <v>366</v>
      </c>
      <c r="B337" s="21">
        <v>45993</v>
      </c>
      <c r="C337" s="1" t="s">
        <v>31</v>
      </c>
      <c r="D337" s="1" t="s">
        <v>20</v>
      </c>
      <c r="E337" s="2">
        <v>1</v>
      </c>
      <c r="F337" s="1" t="s">
        <v>33</v>
      </c>
      <c r="G337" s="1" t="str">
        <f>INDEX(Table2[Nama Produk],MATCH(Table1[[#This Row],[SKU]],Table2[SKU],0))</f>
        <v>Laptop Pro 14</v>
      </c>
      <c r="H337" s="1" t="str">
        <f>VLOOKUP(Table1[[#This Row],[SKU]],Table2[],3,FALSE)</f>
        <v>Elektronik</v>
      </c>
      <c r="I337" s="37">
        <f>INDEX(Table2[Harga Jual],MATCH(Table1[[#This Row],[SKU]],Table2[SKU],0))</f>
        <v>12000000</v>
      </c>
      <c r="J337" s="37">
        <f>VLOOKUP(Table1[[#This Row],[SKU]],Table2[],4,FALSE)</f>
        <v>8500000</v>
      </c>
      <c r="K337" s="37">
        <f>INDEX(Table3[Biaya Kirim per Unit],MATCH(Table1[[#This Row],[Kota]],Table3[Kota],))</f>
        <v>65000</v>
      </c>
      <c r="L337" s="39">
        <f>VLOOKUP(Table1[[#This Row],[Kode_Promo]],Table4[],2,FALSE)</f>
        <v>0.2</v>
      </c>
      <c r="M337" s="37">
        <f>Table1[[#This Row],[Jumlah_Unit]]*Table1[[#This Row],[Harga_Satuan]]</f>
        <v>12000000</v>
      </c>
      <c r="N337" s="37">
        <f>Table1[[#This Row],[Total_Pendapatan_Kotor]]*Table1[[#This Row],[Persentase_Diskon]]</f>
        <v>2400000</v>
      </c>
      <c r="O337" s="37">
        <f>Table1[[#This Row],[Total_Pendapatan_Kotor]]-Table1[[#This Row],[Potongan_Diskon]]</f>
        <v>9600000</v>
      </c>
      <c r="P337" s="37">
        <f>(Table1[[#This Row],[Jumlah_Unit]]*Table1[[#This Row],[HPP_Satuan]])+(Table1[[#This Row],[Jumlah_Unit]]*Table1[[#This Row],[Biaya_Kirim_Satuan]])</f>
        <v>8565000</v>
      </c>
      <c r="Q337" s="37">
        <f>Table1[[#This Row],[Total_Pendapatan_Bersih]]-Table1[[#This Row],[Total_Biaya]]</f>
        <v>1035000</v>
      </c>
      <c r="R337" s="5">
        <f>Table1[[#This Row],[Laba_Kotor]]/Table1[[#This Row],[Total_Pendapatan_Bersih]]</f>
        <v>0.10781250000000001</v>
      </c>
    </row>
    <row r="338" spans="1:18" ht="20.25" thickBot="1" x14ac:dyDescent="0.6">
      <c r="A338" s="3" t="s">
        <v>367</v>
      </c>
      <c r="B338" s="21">
        <v>45994</v>
      </c>
      <c r="C338" s="1" t="s">
        <v>19</v>
      </c>
      <c r="D338" s="1" t="s">
        <v>24</v>
      </c>
      <c r="E338" s="2">
        <v>7</v>
      </c>
      <c r="F338" s="1" t="s">
        <v>21</v>
      </c>
      <c r="G338" s="1" t="str">
        <f>INDEX(Table2[Nama Produk],MATCH(Table1[[#This Row],[SKU]],Table2[SKU],0))</f>
        <v>Mechanical Keyboard</v>
      </c>
      <c r="H338" s="1" t="str">
        <f>VLOOKUP(Table1[[#This Row],[SKU]],Table2[],3,FALSE)</f>
        <v>Aksesori</v>
      </c>
      <c r="I338" s="37">
        <f>INDEX(Table2[Harga Jual],MATCH(Table1[[#This Row],[SKU]],Table2[SKU],0))</f>
        <v>850000</v>
      </c>
      <c r="J338" s="37">
        <f>VLOOKUP(Table1[[#This Row],[SKU]],Table2[],4,FALSE)</f>
        <v>450000</v>
      </c>
      <c r="K338" s="37">
        <f>INDEX(Table3[Biaya Kirim per Unit],MATCH(Table1[[#This Row],[Kota]],Table3[Kota],))</f>
        <v>25000</v>
      </c>
      <c r="L338" s="39">
        <f>VLOOKUP(Table1[[#This Row],[Kode_Promo]],Table4[],2,FALSE)</f>
        <v>0.1</v>
      </c>
      <c r="M338" s="37">
        <f>Table1[[#This Row],[Jumlah_Unit]]*Table1[[#This Row],[Harga_Satuan]]</f>
        <v>5950000</v>
      </c>
      <c r="N338" s="37">
        <f>Table1[[#This Row],[Total_Pendapatan_Kotor]]*Table1[[#This Row],[Persentase_Diskon]]</f>
        <v>595000</v>
      </c>
      <c r="O338" s="37">
        <f>Table1[[#This Row],[Total_Pendapatan_Kotor]]-Table1[[#This Row],[Potongan_Diskon]]</f>
        <v>5355000</v>
      </c>
      <c r="P338" s="37">
        <f>(Table1[[#This Row],[Jumlah_Unit]]*Table1[[#This Row],[HPP_Satuan]])+(Table1[[#This Row],[Jumlah_Unit]]*Table1[[#This Row],[Biaya_Kirim_Satuan]])</f>
        <v>3325000</v>
      </c>
      <c r="Q338" s="37">
        <f>Table1[[#This Row],[Total_Pendapatan_Bersih]]-Table1[[#This Row],[Total_Biaya]]</f>
        <v>2030000</v>
      </c>
      <c r="R338" s="5">
        <f>Table1[[#This Row],[Laba_Kotor]]/Table1[[#This Row],[Total_Pendapatan_Bersih]]</f>
        <v>0.37908496732026142</v>
      </c>
    </row>
    <row r="339" spans="1:18" ht="20.25" thickBot="1" x14ac:dyDescent="0.6">
      <c r="A339" s="3" t="s">
        <v>368</v>
      </c>
      <c r="B339" s="21">
        <v>45995</v>
      </c>
      <c r="C339" s="1" t="s">
        <v>23</v>
      </c>
      <c r="D339" s="1" t="s">
        <v>35</v>
      </c>
      <c r="E339" s="2">
        <v>3</v>
      </c>
      <c r="F339" s="1" t="s">
        <v>25</v>
      </c>
      <c r="G339" s="1" t="str">
        <f>INDEX(Table2[Nama Produk],MATCH(Table1[[#This Row],[SKU]],Table2[SKU],0))</f>
        <v>Meja Adjustable</v>
      </c>
      <c r="H339" s="1" t="str">
        <f>VLOOKUP(Table1[[#This Row],[SKU]],Table2[],3,FALSE)</f>
        <v>Furnitur</v>
      </c>
      <c r="I339" s="37">
        <f>INDEX(Table2[Harga Jual],MATCH(Table1[[#This Row],[SKU]],Table2[SKU],0))</f>
        <v>4200000</v>
      </c>
      <c r="J339" s="37">
        <f>VLOOKUP(Table1[[#This Row],[SKU]],Table2[],4,FALSE)</f>
        <v>2400000</v>
      </c>
      <c r="K339" s="37">
        <f>INDEX(Table3[Biaya Kirim per Unit],MATCH(Table1[[#This Row],[Kota]],Table3[Kota],))</f>
        <v>35000</v>
      </c>
      <c r="L339" s="39">
        <f>VLOOKUP(Table1[[#This Row],[Kode_Promo]],Table4[],2,FALSE)</f>
        <v>0.3</v>
      </c>
      <c r="M339" s="37">
        <f>Table1[[#This Row],[Jumlah_Unit]]*Table1[[#This Row],[Harga_Satuan]]</f>
        <v>12600000</v>
      </c>
      <c r="N339" s="37">
        <f>Table1[[#This Row],[Total_Pendapatan_Kotor]]*Table1[[#This Row],[Persentase_Diskon]]</f>
        <v>3780000</v>
      </c>
      <c r="O339" s="37">
        <f>Table1[[#This Row],[Total_Pendapatan_Kotor]]-Table1[[#This Row],[Potongan_Diskon]]</f>
        <v>8820000</v>
      </c>
      <c r="P339" s="37">
        <f>(Table1[[#This Row],[Jumlah_Unit]]*Table1[[#This Row],[HPP_Satuan]])+(Table1[[#This Row],[Jumlah_Unit]]*Table1[[#This Row],[Biaya_Kirim_Satuan]])</f>
        <v>7305000</v>
      </c>
      <c r="Q339" s="37">
        <f>Table1[[#This Row],[Total_Pendapatan_Bersih]]-Table1[[#This Row],[Total_Biaya]]</f>
        <v>1515000</v>
      </c>
      <c r="R339" s="5">
        <f>Table1[[#This Row],[Laba_Kotor]]/Table1[[#This Row],[Total_Pendapatan_Bersih]]</f>
        <v>0.17176870748299319</v>
      </c>
    </row>
    <row r="340" spans="1:18" ht="20.25" thickBot="1" x14ac:dyDescent="0.6">
      <c r="A340" s="3" t="s">
        <v>369</v>
      </c>
      <c r="B340" s="21">
        <v>45996</v>
      </c>
      <c r="C340" s="1" t="s">
        <v>27</v>
      </c>
      <c r="D340" s="1" t="s">
        <v>32</v>
      </c>
      <c r="E340" s="2">
        <v>4</v>
      </c>
      <c r="F340" s="1" t="s">
        <v>29</v>
      </c>
      <c r="G340" s="1" t="str">
        <f>INDEX(Table2[Nama Produk],MATCH(Table1[[#This Row],[SKU]],Table2[SKU],0))</f>
        <v>Monitor Ergonomis 27</v>
      </c>
      <c r="H340" s="1" t="str">
        <f>VLOOKUP(Table1[[#This Row],[SKU]],Table2[],3,FALSE)</f>
        <v>Elektronik</v>
      </c>
      <c r="I340" s="37">
        <f>INDEX(Table2[Harga Jual],MATCH(Table1[[#This Row],[SKU]],Table2[SKU],0))</f>
        <v>3400000</v>
      </c>
      <c r="J340" s="37">
        <f>VLOOKUP(Table1[[#This Row],[SKU]],Table2[],4,FALSE)</f>
        <v>2100000</v>
      </c>
      <c r="K340" s="37">
        <f>INDEX(Table3[Biaya Kirim per Unit],MATCH(Table1[[#This Row],[Kota]],Table3[Kota],))</f>
        <v>50000</v>
      </c>
      <c r="L340" s="39">
        <f>VLOOKUP(Table1[[#This Row],[Kode_Promo]],Table4[],2,FALSE)</f>
        <v>0</v>
      </c>
      <c r="M340" s="37">
        <f>Table1[[#This Row],[Jumlah_Unit]]*Table1[[#This Row],[Harga_Satuan]]</f>
        <v>13600000</v>
      </c>
      <c r="N340" s="37">
        <f>Table1[[#This Row],[Total_Pendapatan_Kotor]]*Table1[[#This Row],[Persentase_Diskon]]</f>
        <v>0</v>
      </c>
      <c r="O340" s="37">
        <f>Table1[[#This Row],[Total_Pendapatan_Kotor]]-Table1[[#This Row],[Potongan_Diskon]]</f>
        <v>13600000</v>
      </c>
      <c r="P340" s="37">
        <f>(Table1[[#This Row],[Jumlah_Unit]]*Table1[[#This Row],[HPP_Satuan]])+(Table1[[#This Row],[Jumlah_Unit]]*Table1[[#This Row],[Biaya_Kirim_Satuan]])</f>
        <v>8600000</v>
      </c>
      <c r="Q340" s="37">
        <f>Table1[[#This Row],[Total_Pendapatan_Bersih]]-Table1[[#This Row],[Total_Biaya]]</f>
        <v>5000000</v>
      </c>
      <c r="R340" s="5">
        <f>Table1[[#This Row],[Laba_Kotor]]/Table1[[#This Row],[Total_Pendapatan_Bersih]]</f>
        <v>0.36764705882352944</v>
      </c>
    </row>
    <row r="341" spans="1:18" ht="20.25" thickBot="1" x14ac:dyDescent="0.6">
      <c r="A341" s="3" t="s">
        <v>370</v>
      </c>
      <c r="B341" s="21">
        <v>45997</v>
      </c>
      <c r="C341" s="1" t="s">
        <v>31</v>
      </c>
      <c r="D341" s="1" t="s">
        <v>28</v>
      </c>
      <c r="E341" s="2">
        <v>2</v>
      </c>
      <c r="F341" s="1" t="s">
        <v>33</v>
      </c>
      <c r="G341" s="1" t="str">
        <f>INDEX(Table2[Nama Produk],MATCH(Table1[[#This Row],[SKU]],Table2[SKU],0))</f>
        <v>Kursi Kerja Ergonomis</v>
      </c>
      <c r="H341" s="1" t="str">
        <f>VLOOKUP(Table1[[#This Row],[SKU]],Table2[],3,FALSE)</f>
        <v>Furnitur</v>
      </c>
      <c r="I341" s="37">
        <f>INDEX(Table2[Harga Jual],MATCH(Table1[[#This Row],[SKU]],Table2[SKU],0))</f>
        <v>2100000</v>
      </c>
      <c r="J341" s="37">
        <f>VLOOKUP(Table1[[#This Row],[SKU]],Table2[],4,FALSE)</f>
        <v>1200000</v>
      </c>
      <c r="K341" s="37">
        <f>INDEX(Table3[Biaya Kirim per Unit],MATCH(Table1[[#This Row],[Kota]],Table3[Kota],))</f>
        <v>65000</v>
      </c>
      <c r="L341" s="39">
        <f>VLOOKUP(Table1[[#This Row],[Kode_Promo]],Table4[],2,FALSE)</f>
        <v>0.2</v>
      </c>
      <c r="M341" s="37">
        <f>Table1[[#This Row],[Jumlah_Unit]]*Table1[[#This Row],[Harga_Satuan]]</f>
        <v>4200000</v>
      </c>
      <c r="N341" s="37">
        <f>Table1[[#This Row],[Total_Pendapatan_Kotor]]*Table1[[#This Row],[Persentase_Diskon]]</f>
        <v>840000</v>
      </c>
      <c r="O341" s="37">
        <f>Table1[[#This Row],[Total_Pendapatan_Kotor]]-Table1[[#This Row],[Potongan_Diskon]]</f>
        <v>3360000</v>
      </c>
      <c r="P341" s="37">
        <f>(Table1[[#This Row],[Jumlah_Unit]]*Table1[[#This Row],[HPP_Satuan]])+(Table1[[#This Row],[Jumlah_Unit]]*Table1[[#This Row],[Biaya_Kirim_Satuan]])</f>
        <v>2530000</v>
      </c>
      <c r="Q341" s="37">
        <f>Table1[[#This Row],[Total_Pendapatan_Bersih]]-Table1[[#This Row],[Total_Biaya]]</f>
        <v>830000</v>
      </c>
      <c r="R341" s="5">
        <f>Table1[[#This Row],[Laba_Kotor]]/Table1[[#This Row],[Total_Pendapatan_Bersih]]</f>
        <v>0.24702380952380953</v>
      </c>
    </row>
    <row r="342" spans="1:18" ht="20.25" thickBot="1" x14ac:dyDescent="0.6">
      <c r="A342" s="3" t="s">
        <v>371</v>
      </c>
      <c r="B342" s="21">
        <v>45998</v>
      </c>
      <c r="C342" s="1" t="s">
        <v>19</v>
      </c>
      <c r="D342" s="1" t="s">
        <v>20</v>
      </c>
      <c r="E342" s="2">
        <v>4</v>
      </c>
      <c r="F342" s="1" t="s">
        <v>21</v>
      </c>
      <c r="G342" s="1" t="str">
        <f>INDEX(Table2[Nama Produk],MATCH(Table1[[#This Row],[SKU]],Table2[SKU],0))</f>
        <v>Laptop Pro 14</v>
      </c>
      <c r="H342" s="1" t="str">
        <f>VLOOKUP(Table1[[#This Row],[SKU]],Table2[],3,FALSE)</f>
        <v>Elektronik</v>
      </c>
      <c r="I342" s="37">
        <f>INDEX(Table2[Harga Jual],MATCH(Table1[[#This Row],[SKU]],Table2[SKU],0))</f>
        <v>12000000</v>
      </c>
      <c r="J342" s="37">
        <f>VLOOKUP(Table1[[#This Row],[SKU]],Table2[],4,FALSE)</f>
        <v>8500000</v>
      </c>
      <c r="K342" s="37">
        <f>INDEX(Table3[Biaya Kirim per Unit],MATCH(Table1[[#This Row],[Kota]],Table3[Kota],))</f>
        <v>25000</v>
      </c>
      <c r="L342" s="39">
        <f>VLOOKUP(Table1[[#This Row],[Kode_Promo]],Table4[],2,FALSE)</f>
        <v>0.1</v>
      </c>
      <c r="M342" s="37">
        <f>Table1[[#This Row],[Jumlah_Unit]]*Table1[[#This Row],[Harga_Satuan]]</f>
        <v>48000000</v>
      </c>
      <c r="N342" s="37">
        <f>Table1[[#This Row],[Total_Pendapatan_Kotor]]*Table1[[#This Row],[Persentase_Diskon]]</f>
        <v>4800000</v>
      </c>
      <c r="O342" s="37">
        <f>Table1[[#This Row],[Total_Pendapatan_Kotor]]-Table1[[#This Row],[Potongan_Diskon]]</f>
        <v>43200000</v>
      </c>
      <c r="P342" s="37">
        <f>(Table1[[#This Row],[Jumlah_Unit]]*Table1[[#This Row],[HPP_Satuan]])+(Table1[[#This Row],[Jumlah_Unit]]*Table1[[#This Row],[Biaya_Kirim_Satuan]])</f>
        <v>34100000</v>
      </c>
      <c r="Q342" s="37">
        <f>Table1[[#This Row],[Total_Pendapatan_Bersih]]-Table1[[#This Row],[Total_Biaya]]</f>
        <v>9100000</v>
      </c>
      <c r="R342" s="5">
        <f>Table1[[#This Row],[Laba_Kotor]]/Table1[[#This Row],[Total_Pendapatan_Bersih]]</f>
        <v>0.21064814814814814</v>
      </c>
    </row>
    <row r="343" spans="1:18" ht="20.25" thickBot="1" x14ac:dyDescent="0.6">
      <c r="A343" s="3" t="s">
        <v>372</v>
      </c>
      <c r="B343" s="21">
        <v>45999</v>
      </c>
      <c r="C343" s="1" t="s">
        <v>23</v>
      </c>
      <c r="D343" s="1" t="s">
        <v>24</v>
      </c>
      <c r="E343" s="2">
        <v>6</v>
      </c>
      <c r="F343" s="1" t="s">
        <v>25</v>
      </c>
      <c r="G343" s="1" t="str">
        <f>INDEX(Table2[Nama Produk],MATCH(Table1[[#This Row],[SKU]],Table2[SKU],0))</f>
        <v>Mechanical Keyboard</v>
      </c>
      <c r="H343" s="1" t="str">
        <f>VLOOKUP(Table1[[#This Row],[SKU]],Table2[],3,FALSE)</f>
        <v>Aksesori</v>
      </c>
      <c r="I343" s="37">
        <f>INDEX(Table2[Harga Jual],MATCH(Table1[[#This Row],[SKU]],Table2[SKU],0))</f>
        <v>850000</v>
      </c>
      <c r="J343" s="37">
        <f>VLOOKUP(Table1[[#This Row],[SKU]],Table2[],4,FALSE)</f>
        <v>450000</v>
      </c>
      <c r="K343" s="37">
        <f>INDEX(Table3[Biaya Kirim per Unit],MATCH(Table1[[#This Row],[Kota]],Table3[Kota],))</f>
        <v>35000</v>
      </c>
      <c r="L343" s="39">
        <f>VLOOKUP(Table1[[#This Row],[Kode_Promo]],Table4[],2,FALSE)</f>
        <v>0.3</v>
      </c>
      <c r="M343" s="37">
        <f>Table1[[#This Row],[Jumlah_Unit]]*Table1[[#This Row],[Harga_Satuan]]</f>
        <v>5100000</v>
      </c>
      <c r="N343" s="37">
        <f>Table1[[#This Row],[Total_Pendapatan_Kotor]]*Table1[[#This Row],[Persentase_Diskon]]</f>
        <v>1530000</v>
      </c>
      <c r="O343" s="37">
        <f>Table1[[#This Row],[Total_Pendapatan_Kotor]]-Table1[[#This Row],[Potongan_Diskon]]</f>
        <v>3570000</v>
      </c>
      <c r="P343" s="37">
        <f>(Table1[[#This Row],[Jumlah_Unit]]*Table1[[#This Row],[HPP_Satuan]])+(Table1[[#This Row],[Jumlah_Unit]]*Table1[[#This Row],[Biaya_Kirim_Satuan]])</f>
        <v>2910000</v>
      </c>
      <c r="Q343" s="37">
        <f>Table1[[#This Row],[Total_Pendapatan_Bersih]]-Table1[[#This Row],[Total_Biaya]]</f>
        <v>660000</v>
      </c>
      <c r="R343" s="5">
        <f>Table1[[#This Row],[Laba_Kotor]]/Table1[[#This Row],[Total_Pendapatan_Bersih]]</f>
        <v>0.18487394957983194</v>
      </c>
    </row>
    <row r="344" spans="1:18" ht="20.25" thickBot="1" x14ac:dyDescent="0.6">
      <c r="A344" s="3" t="s">
        <v>373</v>
      </c>
      <c r="B344" s="21">
        <v>46000</v>
      </c>
      <c r="C344" s="1" t="s">
        <v>27</v>
      </c>
      <c r="D344" s="1" t="s">
        <v>28</v>
      </c>
      <c r="E344" s="2">
        <v>1</v>
      </c>
      <c r="F344" s="1" t="s">
        <v>29</v>
      </c>
      <c r="G344" s="1" t="str">
        <f>INDEX(Table2[Nama Produk],MATCH(Table1[[#This Row],[SKU]],Table2[SKU],0))</f>
        <v>Kursi Kerja Ergonomis</v>
      </c>
      <c r="H344" s="1" t="str">
        <f>VLOOKUP(Table1[[#This Row],[SKU]],Table2[],3,FALSE)</f>
        <v>Furnitur</v>
      </c>
      <c r="I344" s="37">
        <f>INDEX(Table2[Harga Jual],MATCH(Table1[[#This Row],[SKU]],Table2[SKU],0))</f>
        <v>2100000</v>
      </c>
      <c r="J344" s="37">
        <f>VLOOKUP(Table1[[#This Row],[SKU]],Table2[],4,FALSE)</f>
        <v>1200000</v>
      </c>
      <c r="K344" s="37">
        <f>INDEX(Table3[Biaya Kirim per Unit],MATCH(Table1[[#This Row],[Kota]],Table3[Kota],))</f>
        <v>50000</v>
      </c>
      <c r="L344" s="39">
        <f>VLOOKUP(Table1[[#This Row],[Kode_Promo]],Table4[],2,FALSE)</f>
        <v>0</v>
      </c>
      <c r="M344" s="37">
        <f>Table1[[#This Row],[Jumlah_Unit]]*Table1[[#This Row],[Harga_Satuan]]</f>
        <v>2100000</v>
      </c>
      <c r="N344" s="37">
        <f>Table1[[#This Row],[Total_Pendapatan_Kotor]]*Table1[[#This Row],[Persentase_Diskon]]</f>
        <v>0</v>
      </c>
      <c r="O344" s="37">
        <f>Table1[[#This Row],[Total_Pendapatan_Kotor]]-Table1[[#This Row],[Potongan_Diskon]]</f>
        <v>2100000</v>
      </c>
      <c r="P344" s="37">
        <f>(Table1[[#This Row],[Jumlah_Unit]]*Table1[[#This Row],[HPP_Satuan]])+(Table1[[#This Row],[Jumlah_Unit]]*Table1[[#This Row],[Biaya_Kirim_Satuan]])</f>
        <v>1250000</v>
      </c>
      <c r="Q344" s="37">
        <f>Table1[[#This Row],[Total_Pendapatan_Bersih]]-Table1[[#This Row],[Total_Biaya]]</f>
        <v>850000</v>
      </c>
      <c r="R344" s="5">
        <f>Table1[[#This Row],[Laba_Kotor]]/Table1[[#This Row],[Total_Pendapatan_Bersih]]</f>
        <v>0.40476190476190477</v>
      </c>
    </row>
    <row r="345" spans="1:18" ht="20.25" thickBot="1" x14ac:dyDescent="0.6">
      <c r="A345" s="3" t="s">
        <v>374</v>
      </c>
      <c r="B345" s="21">
        <v>46001</v>
      </c>
      <c r="C345" s="1" t="s">
        <v>31</v>
      </c>
      <c r="D345" s="1" t="s">
        <v>32</v>
      </c>
      <c r="E345" s="2">
        <v>3</v>
      </c>
      <c r="F345" s="1" t="s">
        <v>33</v>
      </c>
      <c r="G345" s="1" t="str">
        <f>INDEX(Table2[Nama Produk],MATCH(Table1[[#This Row],[SKU]],Table2[SKU],0))</f>
        <v>Monitor Ergonomis 27</v>
      </c>
      <c r="H345" s="1" t="str">
        <f>VLOOKUP(Table1[[#This Row],[SKU]],Table2[],3,FALSE)</f>
        <v>Elektronik</v>
      </c>
      <c r="I345" s="37">
        <f>INDEX(Table2[Harga Jual],MATCH(Table1[[#This Row],[SKU]],Table2[SKU],0))</f>
        <v>3400000</v>
      </c>
      <c r="J345" s="37">
        <f>VLOOKUP(Table1[[#This Row],[SKU]],Table2[],4,FALSE)</f>
        <v>2100000</v>
      </c>
      <c r="K345" s="37">
        <f>INDEX(Table3[Biaya Kirim per Unit],MATCH(Table1[[#This Row],[Kota]],Table3[Kota],))</f>
        <v>65000</v>
      </c>
      <c r="L345" s="39">
        <f>VLOOKUP(Table1[[#This Row],[Kode_Promo]],Table4[],2,FALSE)</f>
        <v>0.2</v>
      </c>
      <c r="M345" s="37">
        <f>Table1[[#This Row],[Jumlah_Unit]]*Table1[[#This Row],[Harga_Satuan]]</f>
        <v>10200000</v>
      </c>
      <c r="N345" s="37">
        <f>Table1[[#This Row],[Total_Pendapatan_Kotor]]*Table1[[#This Row],[Persentase_Diskon]]</f>
        <v>2040000</v>
      </c>
      <c r="O345" s="37">
        <f>Table1[[#This Row],[Total_Pendapatan_Kotor]]-Table1[[#This Row],[Potongan_Diskon]]</f>
        <v>8160000</v>
      </c>
      <c r="P345" s="37">
        <f>(Table1[[#This Row],[Jumlah_Unit]]*Table1[[#This Row],[HPP_Satuan]])+(Table1[[#This Row],[Jumlah_Unit]]*Table1[[#This Row],[Biaya_Kirim_Satuan]])</f>
        <v>6495000</v>
      </c>
      <c r="Q345" s="37">
        <f>Table1[[#This Row],[Total_Pendapatan_Bersih]]-Table1[[#This Row],[Total_Biaya]]</f>
        <v>1665000</v>
      </c>
      <c r="R345" s="5">
        <f>Table1[[#This Row],[Laba_Kotor]]/Table1[[#This Row],[Total_Pendapatan_Bersih]]</f>
        <v>0.20404411764705882</v>
      </c>
    </row>
    <row r="346" spans="1:18" ht="20.25" thickBot="1" x14ac:dyDescent="0.6">
      <c r="A346" s="3" t="s">
        <v>375</v>
      </c>
      <c r="B346" s="21">
        <v>46002</v>
      </c>
      <c r="C346" s="1" t="s">
        <v>19</v>
      </c>
      <c r="D346" s="1" t="s">
        <v>35</v>
      </c>
      <c r="E346" s="2">
        <v>2</v>
      </c>
      <c r="F346" s="1" t="s">
        <v>21</v>
      </c>
      <c r="G346" s="1" t="str">
        <f>INDEX(Table2[Nama Produk],MATCH(Table1[[#This Row],[SKU]],Table2[SKU],0))</f>
        <v>Meja Adjustable</v>
      </c>
      <c r="H346" s="1" t="str">
        <f>VLOOKUP(Table1[[#This Row],[SKU]],Table2[],3,FALSE)</f>
        <v>Furnitur</v>
      </c>
      <c r="I346" s="37">
        <f>INDEX(Table2[Harga Jual],MATCH(Table1[[#This Row],[SKU]],Table2[SKU],0))</f>
        <v>4200000</v>
      </c>
      <c r="J346" s="37">
        <f>VLOOKUP(Table1[[#This Row],[SKU]],Table2[],4,FALSE)</f>
        <v>2400000</v>
      </c>
      <c r="K346" s="37">
        <f>INDEX(Table3[Biaya Kirim per Unit],MATCH(Table1[[#This Row],[Kota]],Table3[Kota],))</f>
        <v>25000</v>
      </c>
      <c r="L346" s="39">
        <f>VLOOKUP(Table1[[#This Row],[Kode_Promo]],Table4[],2,FALSE)</f>
        <v>0.1</v>
      </c>
      <c r="M346" s="37">
        <f>Table1[[#This Row],[Jumlah_Unit]]*Table1[[#This Row],[Harga_Satuan]]</f>
        <v>8400000</v>
      </c>
      <c r="N346" s="37">
        <f>Table1[[#This Row],[Total_Pendapatan_Kotor]]*Table1[[#This Row],[Persentase_Diskon]]</f>
        <v>840000</v>
      </c>
      <c r="O346" s="37">
        <f>Table1[[#This Row],[Total_Pendapatan_Kotor]]-Table1[[#This Row],[Potongan_Diskon]]</f>
        <v>7560000</v>
      </c>
      <c r="P346" s="37">
        <f>(Table1[[#This Row],[Jumlah_Unit]]*Table1[[#This Row],[HPP_Satuan]])+(Table1[[#This Row],[Jumlah_Unit]]*Table1[[#This Row],[Biaya_Kirim_Satuan]])</f>
        <v>4850000</v>
      </c>
      <c r="Q346" s="37">
        <f>Table1[[#This Row],[Total_Pendapatan_Bersih]]-Table1[[#This Row],[Total_Biaya]]</f>
        <v>2710000</v>
      </c>
      <c r="R346" s="5">
        <f>Table1[[#This Row],[Laba_Kotor]]/Table1[[#This Row],[Total_Pendapatan_Bersih]]</f>
        <v>0.35846560846560849</v>
      </c>
    </row>
    <row r="347" spans="1:18" ht="20.25" thickBot="1" x14ac:dyDescent="0.6">
      <c r="A347" s="3" t="s">
        <v>376</v>
      </c>
      <c r="B347" s="21">
        <v>46003</v>
      </c>
      <c r="C347" s="1" t="s">
        <v>23</v>
      </c>
      <c r="D347" s="1" t="s">
        <v>20</v>
      </c>
      <c r="E347" s="2">
        <v>5</v>
      </c>
      <c r="F347" s="1" t="s">
        <v>29</v>
      </c>
      <c r="G347" s="1" t="str">
        <f>INDEX(Table2[Nama Produk],MATCH(Table1[[#This Row],[SKU]],Table2[SKU],0))</f>
        <v>Laptop Pro 14</v>
      </c>
      <c r="H347" s="1" t="str">
        <f>VLOOKUP(Table1[[#This Row],[SKU]],Table2[],3,FALSE)</f>
        <v>Elektronik</v>
      </c>
      <c r="I347" s="37">
        <f>INDEX(Table2[Harga Jual],MATCH(Table1[[#This Row],[SKU]],Table2[SKU],0))</f>
        <v>12000000</v>
      </c>
      <c r="J347" s="37">
        <f>VLOOKUP(Table1[[#This Row],[SKU]],Table2[],4,FALSE)</f>
        <v>8500000</v>
      </c>
      <c r="K347" s="37">
        <f>INDEX(Table3[Biaya Kirim per Unit],MATCH(Table1[[#This Row],[Kota]],Table3[Kota],))</f>
        <v>35000</v>
      </c>
      <c r="L347" s="39">
        <f>VLOOKUP(Table1[[#This Row],[Kode_Promo]],Table4[],2,FALSE)</f>
        <v>0</v>
      </c>
      <c r="M347" s="37">
        <f>Table1[[#This Row],[Jumlah_Unit]]*Table1[[#This Row],[Harga_Satuan]]</f>
        <v>60000000</v>
      </c>
      <c r="N347" s="37">
        <f>Table1[[#This Row],[Total_Pendapatan_Kotor]]*Table1[[#This Row],[Persentase_Diskon]]</f>
        <v>0</v>
      </c>
      <c r="O347" s="37">
        <f>Table1[[#This Row],[Total_Pendapatan_Kotor]]-Table1[[#This Row],[Potongan_Diskon]]</f>
        <v>60000000</v>
      </c>
      <c r="P347" s="37">
        <f>(Table1[[#This Row],[Jumlah_Unit]]*Table1[[#This Row],[HPP_Satuan]])+(Table1[[#This Row],[Jumlah_Unit]]*Table1[[#This Row],[Biaya_Kirim_Satuan]])</f>
        <v>42675000</v>
      </c>
      <c r="Q347" s="37">
        <f>Table1[[#This Row],[Total_Pendapatan_Bersih]]-Table1[[#This Row],[Total_Biaya]]</f>
        <v>17325000</v>
      </c>
      <c r="R347" s="5">
        <f>Table1[[#This Row],[Laba_Kotor]]/Table1[[#This Row],[Total_Pendapatan_Bersih]]</f>
        <v>0.28875000000000001</v>
      </c>
    </row>
    <row r="348" spans="1:18" ht="20.25" thickBot="1" x14ac:dyDescent="0.6">
      <c r="A348" s="3" t="s">
        <v>377</v>
      </c>
      <c r="B348" s="21">
        <v>46004</v>
      </c>
      <c r="C348" s="1" t="s">
        <v>27</v>
      </c>
      <c r="D348" s="1" t="s">
        <v>24</v>
      </c>
      <c r="E348" s="2">
        <v>8</v>
      </c>
      <c r="F348" s="1" t="s">
        <v>25</v>
      </c>
      <c r="G348" s="1" t="str">
        <f>INDEX(Table2[Nama Produk],MATCH(Table1[[#This Row],[SKU]],Table2[SKU],0))</f>
        <v>Mechanical Keyboard</v>
      </c>
      <c r="H348" s="1" t="str">
        <f>VLOOKUP(Table1[[#This Row],[SKU]],Table2[],3,FALSE)</f>
        <v>Aksesori</v>
      </c>
      <c r="I348" s="37">
        <f>INDEX(Table2[Harga Jual],MATCH(Table1[[#This Row],[SKU]],Table2[SKU],0))</f>
        <v>850000</v>
      </c>
      <c r="J348" s="37">
        <f>VLOOKUP(Table1[[#This Row],[SKU]],Table2[],4,FALSE)</f>
        <v>450000</v>
      </c>
      <c r="K348" s="37">
        <f>INDEX(Table3[Biaya Kirim per Unit],MATCH(Table1[[#This Row],[Kota]],Table3[Kota],))</f>
        <v>50000</v>
      </c>
      <c r="L348" s="39">
        <f>VLOOKUP(Table1[[#This Row],[Kode_Promo]],Table4[],2,FALSE)</f>
        <v>0.3</v>
      </c>
      <c r="M348" s="37">
        <f>Table1[[#This Row],[Jumlah_Unit]]*Table1[[#This Row],[Harga_Satuan]]</f>
        <v>6800000</v>
      </c>
      <c r="N348" s="37">
        <f>Table1[[#This Row],[Total_Pendapatan_Kotor]]*Table1[[#This Row],[Persentase_Diskon]]</f>
        <v>2040000</v>
      </c>
      <c r="O348" s="37">
        <f>Table1[[#This Row],[Total_Pendapatan_Kotor]]-Table1[[#This Row],[Potongan_Diskon]]</f>
        <v>4760000</v>
      </c>
      <c r="P348" s="37">
        <f>(Table1[[#This Row],[Jumlah_Unit]]*Table1[[#This Row],[HPP_Satuan]])+(Table1[[#This Row],[Jumlah_Unit]]*Table1[[#This Row],[Biaya_Kirim_Satuan]])</f>
        <v>4000000</v>
      </c>
      <c r="Q348" s="37">
        <f>Table1[[#This Row],[Total_Pendapatan_Bersih]]-Table1[[#This Row],[Total_Biaya]]</f>
        <v>760000</v>
      </c>
      <c r="R348" s="5">
        <f>Table1[[#This Row],[Laba_Kotor]]/Table1[[#This Row],[Total_Pendapatan_Bersih]]</f>
        <v>0.15966386554621848</v>
      </c>
    </row>
    <row r="349" spans="1:18" ht="20.25" thickBot="1" x14ac:dyDescent="0.6">
      <c r="A349" s="3" t="s">
        <v>378</v>
      </c>
      <c r="B349" s="21">
        <v>46005</v>
      </c>
      <c r="C349" s="1" t="s">
        <v>31</v>
      </c>
      <c r="D349" s="1" t="s">
        <v>35</v>
      </c>
      <c r="E349" s="2">
        <v>1</v>
      </c>
      <c r="F349" s="1" t="s">
        <v>33</v>
      </c>
      <c r="G349" s="1" t="str">
        <f>INDEX(Table2[Nama Produk],MATCH(Table1[[#This Row],[SKU]],Table2[SKU],0))</f>
        <v>Meja Adjustable</v>
      </c>
      <c r="H349" s="1" t="str">
        <f>VLOOKUP(Table1[[#This Row],[SKU]],Table2[],3,FALSE)</f>
        <v>Furnitur</v>
      </c>
      <c r="I349" s="37">
        <f>INDEX(Table2[Harga Jual],MATCH(Table1[[#This Row],[SKU]],Table2[SKU],0))</f>
        <v>4200000</v>
      </c>
      <c r="J349" s="37">
        <f>VLOOKUP(Table1[[#This Row],[SKU]],Table2[],4,FALSE)</f>
        <v>2400000</v>
      </c>
      <c r="K349" s="37">
        <f>INDEX(Table3[Biaya Kirim per Unit],MATCH(Table1[[#This Row],[Kota]],Table3[Kota],))</f>
        <v>65000</v>
      </c>
      <c r="L349" s="39">
        <f>VLOOKUP(Table1[[#This Row],[Kode_Promo]],Table4[],2,FALSE)</f>
        <v>0.2</v>
      </c>
      <c r="M349" s="37">
        <f>Table1[[#This Row],[Jumlah_Unit]]*Table1[[#This Row],[Harga_Satuan]]</f>
        <v>4200000</v>
      </c>
      <c r="N349" s="37">
        <f>Table1[[#This Row],[Total_Pendapatan_Kotor]]*Table1[[#This Row],[Persentase_Diskon]]</f>
        <v>840000</v>
      </c>
      <c r="O349" s="37">
        <f>Table1[[#This Row],[Total_Pendapatan_Kotor]]-Table1[[#This Row],[Potongan_Diskon]]</f>
        <v>3360000</v>
      </c>
      <c r="P349" s="37">
        <f>(Table1[[#This Row],[Jumlah_Unit]]*Table1[[#This Row],[HPP_Satuan]])+(Table1[[#This Row],[Jumlah_Unit]]*Table1[[#This Row],[Biaya_Kirim_Satuan]])</f>
        <v>2465000</v>
      </c>
      <c r="Q349" s="37">
        <f>Table1[[#This Row],[Total_Pendapatan_Bersih]]-Table1[[#This Row],[Total_Biaya]]</f>
        <v>895000</v>
      </c>
      <c r="R349" s="5">
        <f>Table1[[#This Row],[Laba_Kotor]]/Table1[[#This Row],[Total_Pendapatan_Bersih]]</f>
        <v>0.26636904761904762</v>
      </c>
    </row>
    <row r="350" spans="1:18" ht="20.25" thickBot="1" x14ac:dyDescent="0.6">
      <c r="A350" s="3" t="s">
        <v>379</v>
      </c>
      <c r="B350" s="21">
        <v>46006</v>
      </c>
      <c r="C350" s="1" t="s">
        <v>19</v>
      </c>
      <c r="D350" s="1" t="s">
        <v>32</v>
      </c>
      <c r="E350" s="2">
        <v>3</v>
      </c>
      <c r="F350" s="1" t="s">
        <v>21</v>
      </c>
      <c r="G350" s="1" t="str">
        <f>INDEX(Table2[Nama Produk],MATCH(Table1[[#This Row],[SKU]],Table2[SKU],0))</f>
        <v>Monitor Ergonomis 27</v>
      </c>
      <c r="H350" s="1" t="str">
        <f>VLOOKUP(Table1[[#This Row],[SKU]],Table2[],3,FALSE)</f>
        <v>Elektronik</v>
      </c>
      <c r="I350" s="37">
        <f>INDEX(Table2[Harga Jual],MATCH(Table1[[#This Row],[SKU]],Table2[SKU],0))</f>
        <v>3400000</v>
      </c>
      <c r="J350" s="37">
        <f>VLOOKUP(Table1[[#This Row],[SKU]],Table2[],4,FALSE)</f>
        <v>2100000</v>
      </c>
      <c r="K350" s="37">
        <f>INDEX(Table3[Biaya Kirim per Unit],MATCH(Table1[[#This Row],[Kota]],Table3[Kota],))</f>
        <v>25000</v>
      </c>
      <c r="L350" s="39">
        <f>VLOOKUP(Table1[[#This Row],[Kode_Promo]],Table4[],2,FALSE)</f>
        <v>0.1</v>
      </c>
      <c r="M350" s="37">
        <f>Table1[[#This Row],[Jumlah_Unit]]*Table1[[#This Row],[Harga_Satuan]]</f>
        <v>10200000</v>
      </c>
      <c r="N350" s="37">
        <f>Table1[[#This Row],[Total_Pendapatan_Kotor]]*Table1[[#This Row],[Persentase_Diskon]]</f>
        <v>1020000</v>
      </c>
      <c r="O350" s="37">
        <f>Table1[[#This Row],[Total_Pendapatan_Kotor]]-Table1[[#This Row],[Potongan_Diskon]]</f>
        <v>9180000</v>
      </c>
      <c r="P350" s="37">
        <f>(Table1[[#This Row],[Jumlah_Unit]]*Table1[[#This Row],[HPP_Satuan]])+(Table1[[#This Row],[Jumlah_Unit]]*Table1[[#This Row],[Biaya_Kirim_Satuan]])</f>
        <v>6375000</v>
      </c>
      <c r="Q350" s="37">
        <f>Table1[[#This Row],[Total_Pendapatan_Bersih]]-Table1[[#This Row],[Total_Biaya]]</f>
        <v>2805000</v>
      </c>
      <c r="R350" s="5">
        <f>Table1[[#This Row],[Laba_Kotor]]/Table1[[#This Row],[Total_Pendapatan_Bersih]]</f>
        <v>0.30555555555555558</v>
      </c>
    </row>
    <row r="351" spans="1:18" ht="20.25" thickBot="1" x14ac:dyDescent="0.6">
      <c r="A351" s="3" t="s">
        <v>380</v>
      </c>
      <c r="B351" s="21">
        <v>46007</v>
      </c>
      <c r="C351" s="1" t="s">
        <v>23</v>
      </c>
      <c r="D351" s="1" t="s">
        <v>28</v>
      </c>
      <c r="E351" s="2">
        <v>4</v>
      </c>
      <c r="F351" s="1" t="s">
        <v>25</v>
      </c>
      <c r="G351" s="1" t="str">
        <f>INDEX(Table2[Nama Produk],MATCH(Table1[[#This Row],[SKU]],Table2[SKU],0))</f>
        <v>Kursi Kerja Ergonomis</v>
      </c>
      <c r="H351" s="1" t="str">
        <f>VLOOKUP(Table1[[#This Row],[SKU]],Table2[],3,FALSE)</f>
        <v>Furnitur</v>
      </c>
      <c r="I351" s="37">
        <f>INDEX(Table2[Harga Jual],MATCH(Table1[[#This Row],[SKU]],Table2[SKU],0))</f>
        <v>2100000</v>
      </c>
      <c r="J351" s="37">
        <f>VLOOKUP(Table1[[#This Row],[SKU]],Table2[],4,FALSE)</f>
        <v>1200000</v>
      </c>
      <c r="K351" s="37">
        <f>INDEX(Table3[Biaya Kirim per Unit],MATCH(Table1[[#This Row],[Kota]],Table3[Kota],))</f>
        <v>35000</v>
      </c>
      <c r="L351" s="39">
        <f>VLOOKUP(Table1[[#This Row],[Kode_Promo]],Table4[],2,FALSE)</f>
        <v>0.3</v>
      </c>
      <c r="M351" s="37">
        <f>Table1[[#This Row],[Jumlah_Unit]]*Table1[[#This Row],[Harga_Satuan]]</f>
        <v>8400000</v>
      </c>
      <c r="N351" s="37">
        <f>Table1[[#This Row],[Total_Pendapatan_Kotor]]*Table1[[#This Row],[Persentase_Diskon]]</f>
        <v>2520000</v>
      </c>
      <c r="O351" s="37">
        <f>Table1[[#This Row],[Total_Pendapatan_Kotor]]-Table1[[#This Row],[Potongan_Diskon]]</f>
        <v>5880000</v>
      </c>
      <c r="P351" s="37">
        <f>(Table1[[#This Row],[Jumlah_Unit]]*Table1[[#This Row],[HPP_Satuan]])+(Table1[[#This Row],[Jumlah_Unit]]*Table1[[#This Row],[Biaya_Kirim_Satuan]])</f>
        <v>4940000</v>
      </c>
      <c r="Q351" s="37">
        <f>Table1[[#This Row],[Total_Pendapatan_Bersih]]-Table1[[#This Row],[Total_Biaya]]</f>
        <v>940000</v>
      </c>
      <c r="R351" s="5">
        <f>Table1[[#This Row],[Laba_Kotor]]/Table1[[#This Row],[Total_Pendapatan_Bersih]]</f>
        <v>0.1598639455782313</v>
      </c>
    </row>
    <row r="352" spans="1:18" ht="20.25" thickBot="1" x14ac:dyDescent="0.6">
      <c r="A352" s="3" t="s">
        <v>381</v>
      </c>
      <c r="B352" s="21">
        <v>46008</v>
      </c>
      <c r="C352" s="1" t="s">
        <v>27</v>
      </c>
      <c r="D352" s="1" t="s">
        <v>20</v>
      </c>
      <c r="E352" s="2">
        <v>2</v>
      </c>
      <c r="F352" s="1" t="s">
        <v>29</v>
      </c>
      <c r="G352" s="1" t="str">
        <f>INDEX(Table2[Nama Produk],MATCH(Table1[[#This Row],[SKU]],Table2[SKU],0))</f>
        <v>Laptop Pro 14</v>
      </c>
      <c r="H352" s="1" t="str">
        <f>VLOOKUP(Table1[[#This Row],[SKU]],Table2[],3,FALSE)</f>
        <v>Elektronik</v>
      </c>
      <c r="I352" s="37">
        <f>INDEX(Table2[Harga Jual],MATCH(Table1[[#This Row],[SKU]],Table2[SKU],0))</f>
        <v>12000000</v>
      </c>
      <c r="J352" s="37">
        <f>VLOOKUP(Table1[[#This Row],[SKU]],Table2[],4,FALSE)</f>
        <v>8500000</v>
      </c>
      <c r="K352" s="37">
        <f>INDEX(Table3[Biaya Kirim per Unit],MATCH(Table1[[#This Row],[Kota]],Table3[Kota],))</f>
        <v>50000</v>
      </c>
      <c r="L352" s="39">
        <f>VLOOKUP(Table1[[#This Row],[Kode_Promo]],Table4[],2,FALSE)</f>
        <v>0</v>
      </c>
      <c r="M352" s="37">
        <f>Table1[[#This Row],[Jumlah_Unit]]*Table1[[#This Row],[Harga_Satuan]]</f>
        <v>24000000</v>
      </c>
      <c r="N352" s="37">
        <f>Table1[[#This Row],[Total_Pendapatan_Kotor]]*Table1[[#This Row],[Persentase_Diskon]]</f>
        <v>0</v>
      </c>
      <c r="O352" s="37">
        <f>Table1[[#This Row],[Total_Pendapatan_Kotor]]-Table1[[#This Row],[Potongan_Diskon]]</f>
        <v>24000000</v>
      </c>
      <c r="P352" s="37">
        <f>(Table1[[#This Row],[Jumlah_Unit]]*Table1[[#This Row],[HPP_Satuan]])+(Table1[[#This Row],[Jumlah_Unit]]*Table1[[#This Row],[Biaya_Kirim_Satuan]])</f>
        <v>17100000</v>
      </c>
      <c r="Q352" s="37">
        <f>Table1[[#This Row],[Total_Pendapatan_Bersih]]-Table1[[#This Row],[Total_Biaya]]</f>
        <v>6900000</v>
      </c>
      <c r="R352" s="5">
        <f>Table1[[#This Row],[Laba_Kotor]]/Table1[[#This Row],[Total_Pendapatan_Bersih]]</f>
        <v>0.28749999999999998</v>
      </c>
    </row>
    <row r="353" spans="1:18" ht="20.25" thickBot="1" x14ac:dyDescent="0.6">
      <c r="A353" s="3" t="s">
        <v>382</v>
      </c>
      <c r="B353" s="21">
        <v>46009</v>
      </c>
      <c r="C353" s="1" t="s">
        <v>31</v>
      </c>
      <c r="D353" s="1" t="s">
        <v>24</v>
      </c>
      <c r="E353" s="2">
        <v>5</v>
      </c>
      <c r="F353" s="1" t="s">
        <v>33</v>
      </c>
      <c r="G353" s="1" t="str">
        <f>INDEX(Table2[Nama Produk],MATCH(Table1[[#This Row],[SKU]],Table2[SKU],0))</f>
        <v>Mechanical Keyboard</v>
      </c>
      <c r="H353" s="1" t="str">
        <f>VLOOKUP(Table1[[#This Row],[SKU]],Table2[],3,FALSE)</f>
        <v>Aksesori</v>
      </c>
      <c r="I353" s="37">
        <f>INDEX(Table2[Harga Jual],MATCH(Table1[[#This Row],[SKU]],Table2[SKU],0))</f>
        <v>850000</v>
      </c>
      <c r="J353" s="37">
        <f>VLOOKUP(Table1[[#This Row],[SKU]],Table2[],4,FALSE)</f>
        <v>450000</v>
      </c>
      <c r="K353" s="37">
        <f>INDEX(Table3[Biaya Kirim per Unit],MATCH(Table1[[#This Row],[Kota]],Table3[Kota],))</f>
        <v>65000</v>
      </c>
      <c r="L353" s="39">
        <f>VLOOKUP(Table1[[#This Row],[Kode_Promo]],Table4[],2,FALSE)</f>
        <v>0.2</v>
      </c>
      <c r="M353" s="37">
        <f>Table1[[#This Row],[Jumlah_Unit]]*Table1[[#This Row],[Harga_Satuan]]</f>
        <v>4250000</v>
      </c>
      <c r="N353" s="37">
        <f>Table1[[#This Row],[Total_Pendapatan_Kotor]]*Table1[[#This Row],[Persentase_Diskon]]</f>
        <v>850000</v>
      </c>
      <c r="O353" s="37">
        <f>Table1[[#This Row],[Total_Pendapatan_Kotor]]-Table1[[#This Row],[Potongan_Diskon]]</f>
        <v>3400000</v>
      </c>
      <c r="P353" s="37">
        <f>(Table1[[#This Row],[Jumlah_Unit]]*Table1[[#This Row],[HPP_Satuan]])+(Table1[[#This Row],[Jumlah_Unit]]*Table1[[#This Row],[Biaya_Kirim_Satuan]])</f>
        <v>2575000</v>
      </c>
      <c r="Q353" s="37">
        <f>Table1[[#This Row],[Total_Pendapatan_Bersih]]-Table1[[#This Row],[Total_Biaya]]</f>
        <v>825000</v>
      </c>
      <c r="R353" s="5">
        <f>Table1[[#This Row],[Laba_Kotor]]/Table1[[#This Row],[Total_Pendapatan_Bersih]]</f>
        <v>0.24264705882352941</v>
      </c>
    </row>
    <row r="354" spans="1:18" ht="20.25" thickBot="1" x14ac:dyDescent="0.6">
      <c r="A354" s="3" t="s">
        <v>383</v>
      </c>
      <c r="B354" s="21">
        <v>46010</v>
      </c>
      <c r="C354" s="1" t="s">
        <v>19</v>
      </c>
      <c r="D354" s="1" t="s">
        <v>28</v>
      </c>
      <c r="E354" s="2">
        <v>2</v>
      </c>
      <c r="F354" s="1" t="s">
        <v>21</v>
      </c>
      <c r="G354" s="1" t="str">
        <f>INDEX(Table2[Nama Produk],MATCH(Table1[[#This Row],[SKU]],Table2[SKU],0))</f>
        <v>Kursi Kerja Ergonomis</v>
      </c>
      <c r="H354" s="1" t="str">
        <f>VLOOKUP(Table1[[#This Row],[SKU]],Table2[],3,FALSE)</f>
        <v>Furnitur</v>
      </c>
      <c r="I354" s="37">
        <f>INDEX(Table2[Harga Jual],MATCH(Table1[[#This Row],[SKU]],Table2[SKU],0))</f>
        <v>2100000</v>
      </c>
      <c r="J354" s="37">
        <f>VLOOKUP(Table1[[#This Row],[SKU]],Table2[],4,FALSE)</f>
        <v>1200000</v>
      </c>
      <c r="K354" s="37">
        <f>INDEX(Table3[Biaya Kirim per Unit],MATCH(Table1[[#This Row],[Kota]],Table3[Kota],))</f>
        <v>25000</v>
      </c>
      <c r="L354" s="39">
        <f>VLOOKUP(Table1[[#This Row],[Kode_Promo]],Table4[],2,FALSE)</f>
        <v>0.1</v>
      </c>
      <c r="M354" s="37">
        <f>Table1[[#This Row],[Jumlah_Unit]]*Table1[[#This Row],[Harga_Satuan]]</f>
        <v>4200000</v>
      </c>
      <c r="N354" s="37">
        <f>Table1[[#This Row],[Total_Pendapatan_Kotor]]*Table1[[#This Row],[Persentase_Diskon]]</f>
        <v>420000</v>
      </c>
      <c r="O354" s="37">
        <f>Table1[[#This Row],[Total_Pendapatan_Kotor]]-Table1[[#This Row],[Potongan_Diskon]]</f>
        <v>3780000</v>
      </c>
      <c r="P354" s="37">
        <f>(Table1[[#This Row],[Jumlah_Unit]]*Table1[[#This Row],[HPP_Satuan]])+(Table1[[#This Row],[Jumlah_Unit]]*Table1[[#This Row],[Biaya_Kirim_Satuan]])</f>
        <v>2450000</v>
      </c>
      <c r="Q354" s="37">
        <f>Table1[[#This Row],[Total_Pendapatan_Bersih]]-Table1[[#This Row],[Total_Biaya]]</f>
        <v>1330000</v>
      </c>
      <c r="R354" s="5">
        <f>Table1[[#This Row],[Laba_Kotor]]/Table1[[#This Row],[Total_Pendapatan_Bersih]]</f>
        <v>0.35185185185185186</v>
      </c>
    </row>
    <row r="355" spans="1:18" ht="20.25" thickBot="1" x14ac:dyDescent="0.6">
      <c r="A355" s="3" t="s">
        <v>384</v>
      </c>
      <c r="B355" s="21">
        <v>46011</v>
      </c>
      <c r="C355" s="1" t="s">
        <v>23</v>
      </c>
      <c r="D355" s="1" t="s">
        <v>32</v>
      </c>
      <c r="E355" s="2">
        <v>1</v>
      </c>
      <c r="F355" s="1" t="s">
        <v>25</v>
      </c>
      <c r="G355" s="1" t="str">
        <f>INDEX(Table2[Nama Produk],MATCH(Table1[[#This Row],[SKU]],Table2[SKU],0))</f>
        <v>Monitor Ergonomis 27</v>
      </c>
      <c r="H355" s="1" t="str">
        <f>VLOOKUP(Table1[[#This Row],[SKU]],Table2[],3,FALSE)</f>
        <v>Elektronik</v>
      </c>
      <c r="I355" s="37">
        <f>INDEX(Table2[Harga Jual],MATCH(Table1[[#This Row],[SKU]],Table2[SKU],0))</f>
        <v>3400000</v>
      </c>
      <c r="J355" s="37">
        <f>VLOOKUP(Table1[[#This Row],[SKU]],Table2[],4,FALSE)</f>
        <v>2100000</v>
      </c>
      <c r="K355" s="37">
        <f>INDEX(Table3[Biaya Kirim per Unit],MATCH(Table1[[#This Row],[Kota]],Table3[Kota],))</f>
        <v>35000</v>
      </c>
      <c r="L355" s="39">
        <f>VLOOKUP(Table1[[#This Row],[Kode_Promo]],Table4[],2,FALSE)</f>
        <v>0.3</v>
      </c>
      <c r="M355" s="37">
        <f>Table1[[#This Row],[Jumlah_Unit]]*Table1[[#This Row],[Harga_Satuan]]</f>
        <v>3400000</v>
      </c>
      <c r="N355" s="37">
        <f>Table1[[#This Row],[Total_Pendapatan_Kotor]]*Table1[[#This Row],[Persentase_Diskon]]</f>
        <v>1020000</v>
      </c>
      <c r="O355" s="37">
        <f>Table1[[#This Row],[Total_Pendapatan_Kotor]]-Table1[[#This Row],[Potongan_Diskon]]</f>
        <v>2380000</v>
      </c>
      <c r="P355" s="37">
        <f>(Table1[[#This Row],[Jumlah_Unit]]*Table1[[#This Row],[HPP_Satuan]])+(Table1[[#This Row],[Jumlah_Unit]]*Table1[[#This Row],[Biaya_Kirim_Satuan]])</f>
        <v>2135000</v>
      </c>
      <c r="Q355" s="37">
        <f>Table1[[#This Row],[Total_Pendapatan_Bersih]]-Table1[[#This Row],[Total_Biaya]]</f>
        <v>245000</v>
      </c>
      <c r="R355" s="5">
        <f>Table1[[#This Row],[Laba_Kotor]]/Table1[[#This Row],[Total_Pendapatan_Bersih]]</f>
        <v>0.10294117647058823</v>
      </c>
    </row>
    <row r="356" spans="1:18" ht="20.25" thickBot="1" x14ac:dyDescent="0.6">
      <c r="A356" s="3" t="s">
        <v>385</v>
      </c>
      <c r="B356" s="21">
        <v>46012</v>
      </c>
      <c r="C356" s="1" t="s">
        <v>27</v>
      </c>
      <c r="D356" s="1" t="s">
        <v>35</v>
      </c>
      <c r="E356" s="2">
        <v>3</v>
      </c>
      <c r="F356" s="1" t="s">
        <v>29</v>
      </c>
      <c r="G356" s="1" t="str">
        <f>INDEX(Table2[Nama Produk],MATCH(Table1[[#This Row],[SKU]],Table2[SKU],0))</f>
        <v>Meja Adjustable</v>
      </c>
      <c r="H356" s="1" t="str">
        <f>VLOOKUP(Table1[[#This Row],[SKU]],Table2[],3,FALSE)</f>
        <v>Furnitur</v>
      </c>
      <c r="I356" s="37">
        <f>INDEX(Table2[Harga Jual],MATCH(Table1[[#This Row],[SKU]],Table2[SKU],0))</f>
        <v>4200000</v>
      </c>
      <c r="J356" s="37">
        <f>VLOOKUP(Table1[[#This Row],[SKU]],Table2[],4,FALSE)</f>
        <v>2400000</v>
      </c>
      <c r="K356" s="37">
        <f>INDEX(Table3[Biaya Kirim per Unit],MATCH(Table1[[#This Row],[Kota]],Table3[Kota],))</f>
        <v>50000</v>
      </c>
      <c r="L356" s="39">
        <f>VLOOKUP(Table1[[#This Row],[Kode_Promo]],Table4[],2,FALSE)</f>
        <v>0</v>
      </c>
      <c r="M356" s="37">
        <f>Table1[[#This Row],[Jumlah_Unit]]*Table1[[#This Row],[Harga_Satuan]]</f>
        <v>12600000</v>
      </c>
      <c r="N356" s="37">
        <f>Table1[[#This Row],[Total_Pendapatan_Kotor]]*Table1[[#This Row],[Persentase_Diskon]]</f>
        <v>0</v>
      </c>
      <c r="O356" s="37">
        <f>Table1[[#This Row],[Total_Pendapatan_Kotor]]-Table1[[#This Row],[Potongan_Diskon]]</f>
        <v>12600000</v>
      </c>
      <c r="P356" s="37">
        <f>(Table1[[#This Row],[Jumlah_Unit]]*Table1[[#This Row],[HPP_Satuan]])+(Table1[[#This Row],[Jumlah_Unit]]*Table1[[#This Row],[Biaya_Kirim_Satuan]])</f>
        <v>7350000</v>
      </c>
      <c r="Q356" s="37">
        <f>Table1[[#This Row],[Total_Pendapatan_Bersih]]-Table1[[#This Row],[Total_Biaya]]</f>
        <v>5250000</v>
      </c>
      <c r="R356" s="5">
        <f>Table1[[#This Row],[Laba_Kotor]]/Table1[[#This Row],[Total_Pendapatan_Bersih]]</f>
        <v>0.41666666666666669</v>
      </c>
    </row>
    <row r="357" spans="1:18" ht="20.25" thickBot="1" x14ac:dyDescent="0.6">
      <c r="A357" s="3" t="s">
        <v>386</v>
      </c>
      <c r="B357" s="21">
        <v>46013</v>
      </c>
      <c r="C357" s="1" t="s">
        <v>31</v>
      </c>
      <c r="D357" s="1" t="s">
        <v>20</v>
      </c>
      <c r="E357" s="2">
        <v>2</v>
      </c>
      <c r="F357" s="1" t="s">
        <v>33</v>
      </c>
      <c r="G357" s="1" t="str">
        <f>INDEX(Table2[Nama Produk],MATCH(Table1[[#This Row],[SKU]],Table2[SKU],0))</f>
        <v>Laptop Pro 14</v>
      </c>
      <c r="H357" s="1" t="str">
        <f>VLOOKUP(Table1[[#This Row],[SKU]],Table2[],3,FALSE)</f>
        <v>Elektronik</v>
      </c>
      <c r="I357" s="37">
        <f>INDEX(Table2[Harga Jual],MATCH(Table1[[#This Row],[SKU]],Table2[SKU],0))</f>
        <v>12000000</v>
      </c>
      <c r="J357" s="37">
        <f>VLOOKUP(Table1[[#This Row],[SKU]],Table2[],4,FALSE)</f>
        <v>8500000</v>
      </c>
      <c r="K357" s="37">
        <f>INDEX(Table3[Biaya Kirim per Unit],MATCH(Table1[[#This Row],[Kota]],Table3[Kota],))</f>
        <v>65000</v>
      </c>
      <c r="L357" s="39">
        <f>VLOOKUP(Table1[[#This Row],[Kode_Promo]],Table4[],2,FALSE)</f>
        <v>0.2</v>
      </c>
      <c r="M357" s="37">
        <f>Table1[[#This Row],[Jumlah_Unit]]*Table1[[#This Row],[Harga_Satuan]]</f>
        <v>24000000</v>
      </c>
      <c r="N357" s="37">
        <f>Table1[[#This Row],[Total_Pendapatan_Kotor]]*Table1[[#This Row],[Persentase_Diskon]]</f>
        <v>4800000</v>
      </c>
      <c r="O357" s="37">
        <f>Table1[[#This Row],[Total_Pendapatan_Kotor]]-Table1[[#This Row],[Potongan_Diskon]]</f>
        <v>19200000</v>
      </c>
      <c r="P357" s="37">
        <f>(Table1[[#This Row],[Jumlah_Unit]]*Table1[[#This Row],[HPP_Satuan]])+(Table1[[#This Row],[Jumlah_Unit]]*Table1[[#This Row],[Biaya_Kirim_Satuan]])</f>
        <v>17130000</v>
      </c>
      <c r="Q357" s="37">
        <f>Table1[[#This Row],[Total_Pendapatan_Bersih]]-Table1[[#This Row],[Total_Biaya]]</f>
        <v>2070000</v>
      </c>
      <c r="R357" s="5">
        <f>Table1[[#This Row],[Laba_Kotor]]/Table1[[#This Row],[Total_Pendapatan_Bersih]]</f>
        <v>0.10781250000000001</v>
      </c>
    </row>
    <row r="358" spans="1:18" ht="20.25" thickBot="1" x14ac:dyDescent="0.6">
      <c r="A358" s="3" t="s">
        <v>387</v>
      </c>
      <c r="B358" s="21">
        <v>46014</v>
      </c>
      <c r="C358" s="1" t="s">
        <v>19</v>
      </c>
      <c r="D358" s="1" t="s">
        <v>24</v>
      </c>
      <c r="E358" s="2">
        <v>6</v>
      </c>
      <c r="F358" s="1" t="s">
        <v>21</v>
      </c>
      <c r="G358" s="1" t="str">
        <f>INDEX(Table2[Nama Produk],MATCH(Table1[[#This Row],[SKU]],Table2[SKU],0))</f>
        <v>Mechanical Keyboard</v>
      </c>
      <c r="H358" s="1" t="str">
        <f>VLOOKUP(Table1[[#This Row],[SKU]],Table2[],3,FALSE)</f>
        <v>Aksesori</v>
      </c>
      <c r="I358" s="37">
        <f>INDEX(Table2[Harga Jual],MATCH(Table1[[#This Row],[SKU]],Table2[SKU],0))</f>
        <v>850000</v>
      </c>
      <c r="J358" s="37">
        <f>VLOOKUP(Table1[[#This Row],[SKU]],Table2[],4,FALSE)</f>
        <v>450000</v>
      </c>
      <c r="K358" s="37">
        <f>INDEX(Table3[Biaya Kirim per Unit],MATCH(Table1[[#This Row],[Kota]],Table3[Kota],))</f>
        <v>25000</v>
      </c>
      <c r="L358" s="39">
        <f>VLOOKUP(Table1[[#This Row],[Kode_Promo]],Table4[],2,FALSE)</f>
        <v>0.1</v>
      </c>
      <c r="M358" s="37">
        <f>Table1[[#This Row],[Jumlah_Unit]]*Table1[[#This Row],[Harga_Satuan]]</f>
        <v>5100000</v>
      </c>
      <c r="N358" s="37">
        <f>Table1[[#This Row],[Total_Pendapatan_Kotor]]*Table1[[#This Row],[Persentase_Diskon]]</f>
        <v>510000</v>
      </c>
      <c r="O358" s="37">
        <f>Table1[[#This Row],[Total_Pendapatan_Kotor]]-Table1[[#This Row],[Potongan_Diskon]]</f>
        <v>4590000</v>
      </c>
      <c r="P358" s="37">
        <f>(Table1[[#This Row],[Jumlah_Unit]]*Table1[[#This Row],[HPP_Satuan]])+(Table1[[#This Row],[Jumlah_Unit]]*Table1[[#This Row],[Biaya_Kirim_Satuan]])</f>
        <v>2850000</v>
      </c>
      <c r="Q358" s="37">
        <f>Table1[[#This Row],[Total_Pendapatan_Bersih]]-Table1[[#This Row],[Total_Biaya]]</f>
        <v>1740000</v>
      </c>
      <c r="R358" s="5">
        <f>Table1[[#This Row],[Laba_Kotor]]/Table1[[#This Row],[Total_Pendapatan_Bersih]]</f>
        <v>0.37908496732026142</v>
      </c>
    </row>
    <row r="359" spans="1:18" ht="20.25" thickBot="1" x14ac:dyDescent="0.6">
      <c r="A359" s="3" t="s">
        <v>388</v>
      </c>
      <c r="B359" s="21">
        <v>46015</v>
      </c>
      <c r="C359" s="1" t="s">
        <v>23</v>
      </c>
      <c r="D359" s="1" t="s">
        <v>35</v>
      </c>
      <c r="E359" s="2">
        <v>4</v>
      </c>
      <c r="F359" s="1" t="s">
        <v>25</v>
      </c>
      <c r="G359" s="1" t="str">
        <f>INDEX(Table2[Nama Produk],MATCH(Table1[[#This Row],[SKU]],Table2[SKU],0))</f>
        <v>Meja Adjustable</v>
      </c>
      <c r="H359" s="1" t="str">
        <f>VLOOKUP(Table1[[#This Row],[SKU]],Table2[],3,FALSE)</f>
        <v>Furnitur</v>
      </c>
      <c r="I359" s="37">
        <f>INDEX(Table2[Harga Jual],MATCH(Table1[[#This Row],[SKU]],Table2[SKU],0))</f>
        <v>4200000</v>
      </c>
      <c r="J359" s="37">
        <f>VLOOKUP(Table1[[#This Row],[SKU]],Table2[],4,FALSE)</f>
        <v>2400000</v>
      </c>
      <c r="K359" s="37">
        <f>INDEX(Table3[Biaya Kirim per Unit],MATCH(Table1[[#This Row],[Kota]],Table3[Kota],))</f>
        <v>35000</v>
      </c>
      <c r="L359" s="39">
        <f>VLOOKUP(Table1[[#This Row],[Kode_Promo]],Table4[],2,FALSE)</f>
        <v>0.3</v>
      </c>
      <c r="M359" s="37">
        <f>Table1[[#This Row],[Jumlah_Unit]]*Table1[[#This Row],[Harga_Satuan]]</f>
        <v>16800000</v>
      </c>
      <c r="N359" s="37">
        <f>Table1[[#This Row],[Total_Pendapatan_Kotor]]*Table1[[#This Row],[Persentase_Diskon]]</f>
        <v>5040000</v>
      </c>
      <c r="O359" s="37">
        <f>Table1[[#This Row],[Total_Pendapatan_Kotor]]-Table1[[#This Row],[Potongan_Diskon]]</f>
        <v>11760000</v>
      </c>
      <c r="P359" s="37">
        <f>(Table1[[#This Row],[Jumlah_Unit]]*Table1[[#This Row],[HPP_Satuan]])+(Table1[[#This Row],[Jumlah_Unit]]*Table1[[#This Row],[Biaya_Kirim_Satuan]])</f>
        <v>9740000</v>
      </c>
      <c r="Q359" s="37">
        <f>Table1[[#This Row],[Total_Pendapatan_Bersih]]-Table1[[#This Row],[Total_Biaya]]</f>
        <v>2020000</v>
      </c>
      <c r="R359" s="5">
        <f>Table1[[#This Row],[Laba_Kotor]]/Table1[[#This Row],[Total_Pendapatan_Bersih]]</f>
        <v>0.17176870748299319</v>
      </c>
    </row>
    <row r="360" spans="1:18" ht="20.25" thickBot="1" x14ac:dyDescent="0.6">
      <c r="A360" s="3" t="s">
        <v>389</v>
      </c>
      <c r="B360" s="21">
        <v>46016</v>
      </c>
      <c r="C360" s="1" t="s">
        <v>27</v>
      </c>
      <c r="D360" s="1" t="s">
        <v>32</v>
      </c>
      <c r="E360" s="2">
        <v>2</v>
      </c>
      <c r="F360" s="1" t="s">
        <v>29</v>
      </c>
      <c r="G360" s="1" t="str">
        <f>INDEX(Table2[Nama Produk],MATCH(Table1[[#This Row],[SKU]],Table2[SKU],0))</f>
        <v>Monitor Ergonomis 27</v>
      </c>
      <c r="H360" s="1" t="str">
        <f>VLOOKUP(Table1[[#This Row],[SKU]],Table2[],3,FALSE)</f>
        <v>Elektronik</v>
      </c>
      <c r="I360" s="37">
        <f>INDEX(Table2[Harga Jual],MATCH(Table1[[#This Row],[SKU]],Table2[SKU],0))</f>
        <v>3400000</v>
      </c>
      <c r="J360" s="37">
        <f>VLOOKUP(Table1[[#This Row],[SKU]],Table2[],4,FALSE)</f>
        <v>2100000</v>
      </c>
      <c r="K360" s="37">
        <f>INDEX(Table3[Biaya Kirim per Unit],MATCH(Table1[[#This Row],[Kota]],Table3[Kota],))</f>
        <v>50000</v>
      </c>
      <c r="L360" s="39">
        <f>VLOOKUP(Table1[[#This Row],[Kode_Promo]],Table4[],2,FALSE)</f>
        <v>0</v>
      </c>
      <c r="M360" s="37">
        <f>Table1[[#This Row],[Jumlah_Unit]]*Table1[[#This Row],[Harga_Satuan]]</f>
        <v>6800000</v>
      </c>
      <c r="N360" s="37">
        <f>Table1[[#This Row],[Total_Pendapatan_Kotor]]*Table1[[#This Row],[Persentase_Diskon]]</f>
        <v>0</v>
      </c>
      <c r="O360" s="37">
        <f>Table1[[#This Row],[Total_Pendapatan_Kotor]]-Table1[[#This Row],[Potongan_Diskon]]</f>
        <v>6800000</v>
      </c>
      <c r="P360" s="37">
        <f>(Table1[[#This Row],[Jumlah_Unit]]*Table1[[#This Row],[HPP_Satuan]])+(Table1[[#This Row],[Jumlah_Unit]]*Table1[[#This Row],[Biaya_Kirim_Satuan]])</f>
        <v>4300000</v>
      </c>
      <c r="Q360" s="37">
        <f>Table1[[#This Row],[Total_Pendapatan_Bersih]]-Table1[[#This Row],[Total_Biaya]]</f>
        <v>2500000</v>
      </c>
      <c r="R360" s="5">
        <f>Table1[[#This Row],[Laba_Kotor]]/Table1[[#This Row],[Total_Pendapatan_Bersih]]</f>
        <v>0.36764705882352944</v>
      </c>
    </row>
    <row r="361" spans="1:18" ht="20.25" thickBot="1" x14ac:dyDescent="0.6">
      <c r="A361" s="3" t="s">
        <v>390</v>
      </c>
      <c r="B361" s="21">
        <v>46017</v>
      </c>
      <c r="C361" s="1" t="s">
        <v>31</v>
      </c>
      <c r="D361" s="1" t="s">
        <v>28</v>
      </c>
      <c r="E361" s="2">
        <v>3</v>
      </c>
      <c r="F361" s="1" t="s">
        <v>33</v>
      </c>
      <c r="G361" s="1" t="str">
        <f>INDEX(Table2[Nama Produk],MATCH(Table1[[#This Row],[SKU]],Table2[SKU],0))</f>
        <v>Kursi Kerja Ergonomis</v>
      </c>
      <c r="H361" s="1" t="str">
        <f>VLOOKUP(Table1[[#This Row],[SKU]],Table2[],3,FALSE)</f>
        <v>Furnitur</v>
      </c>
      <c r="I361" s="37">
        <f>INDEX(Table2[Harga Jual],MATCH(Table1[[#This Row],[SKU]],Table2[SKU],0))</f>
        <v>2100000</v>
      </c>
      <c r="J361" s="37">
        <f>VLOOKUP(Table1[[#This Row],[SKU]],Table2[],4,FALSE)</f>
        <v>1200000</v>
      </c>
      <c r="K361" s="37">
        <f>INDEX(Table3[Biaya Kirim per Unit],MATCH(Table1[[#This Row],[Kota]],Table3[Kota],))</f>
        <v>65000</v>
      </c>
      <c r="L361" s="39">
        <f>VLOOKUP(Table1[[#This Row],[Kode_Promo]],Table4[],2,FALSE)</f>
        <v>0.2</v>
      </c>
      <c r="M361" s="37">
        <f>Table1[[#This Row],[Jumlah_Unit]]*Table1[[#This Row],[Harga_Satuan]]</f>
        <v>6300000</v>
      </c>
      <c r="N361" s="37">
        <f>Table1[[#This Row],[Total_Pendapatan_Kotor]]*Table1[[#This Row],[Persentase_Diskon]]</f>
        <v>1260000</v>
      </c>
      <c r="O361" s="37">
        <f>Table1[[#This Row],[Total_Pendapatan_Kotor]]-Table1[[#This Row],[Potongan_Diskon]]</f>
        <v>5040000</v>
      </c>
      <c r="P361" s="37">
        <f>(Table1[[#This Row],[Jumlah_Unit]]*Table1[[#This Row],[HPP_Satuan]])+(Table1[[#This Row],[Jumlah_Unit]]*Table1[[#This Row],[Biaya_Kirim_Satuan]])</f>
        <v>3795000</v>
      </c>
      <c r="Q361" s="37">
        <f>Table1[[#This Row],[Total_Pendapatan_Bersih]]-Table1[[#This Row],[Total_Biaya]]</f>
        <v>1245000</v>
      </c>
      <c r="R361" s="5">
        <f>Table1[[#This Row],[Laba_Kotor]]/Table1[[#This Row],[Total_Pendapatan_Bersih]]</f>
        <v>0.24702380952380953</v>
      </c>
    </row>
    <row r="362" spans="1:18" ht="20.25" thickBot="1" x14ac:dyDescent="0.6">
      <c r="A362" s="3" t="s">
        <v>391</v>
      </c>
      <c r="B362" s="21">
        <v>46018</v>
      </c>
      <c r="C362" s="1" t="s">
        <v>19</v>
      </c>
      <c r="D362" s="1" t="s">
        <v>20</v>
      </c>
      <c r="E362" s="2">
        <v>3</v>
      </c>
      <c r="F362" s="1" t="s">
        <v>21</v>
      </c>
      <c r="G362" s="1" t="str">
        <f>INDEX(Table2[Nama Produk],MATCH(Table1[[#This Row],[SKU]],Table2[SKU],0))</f>
        <v>Laptop Pro 14</v>
      </c>
      <c r="H362" s="1" t="str">
        <f>VLOOKUP(Table1[[#This Row],[SKU]],Table2[],3,FALSE)</f>
        <v>Elektronik</v>
      </c>
      <c r="I362" s="37">
        <f>INDEX(Table2[Harga Jual],MATCH(Table1[[#This Row],[SKU]],Table2[SKU],0))</f>
        <v>12000000</v>
      </c>
      <c r="J362" s="37">
        <f>VLOOKUP(Table1[[#This Row],[SKU]],Table2[],4,FALSE)</f>
        <v>8500000</v>
      </c>
      <c r="K362" s="37">
        <f>INDEX(Table3[Biaya Kirim per Unit],MATCH(Table1[[#This Row],[Kota]],Table3[Kota],))</f>
        <v>25000</v>
      </c>
      <c r="L362" s="39">
        <f>VLOOKUP(Table1[[#This Row],[Kode_Promo]],Table4[],2,FALSE)</f>
        <v>0.1</v>
      </c>
      <c r="M362" s="37">
        <f>Table1[[#This Row],[Jumlah_Unit]]*Table1[[#This Row],[Harga_Satuan]]</f>
        <v>36000000</v>
      </c>
      <c r="N362" s="37">
        <f>Table1[[#This Row],[Total_Pendapatan_Kotor]]*Table1[[#This Row],[Persentase_Diskon]]</f>
        <v>3600000</v>
      </c>
      <c r="O362" s="37">
        <f>Table1[[#This Row],[Total_Pendapatan_Kotor]]-Table1[[#This Row],[Potongan_Diskon]]</f>
        <v>32400000</v>
      </c>
      <c r="P362" s="37">
        <f>(Table1[[#This Row],[Jumlah_Unit]]*Table1[[#This Row],[HPP_Satuan]])+(Table1[[#This Row],[Jumlah_Unit]]*Table1[[#This Row],[Biaya_Kirim_Satuan]])</f>
        <v>25575000</v>
      </c>
      <c r="Q362" s="37">
        <f>Table1[[#This Row],[Total_Pendapatan_Bersih]]-Table1[[#This Row],[Total_Biaya]]</f>
        <v>6825000</v>
      </c>
      <c r="R362" s="5">
        <f>Table1[[#This Row],[Laba_Kotor]]/Table1[[#This Row],[Total_Pendapatan_Bersih]]</f>
        <v>0.21064814814814814</v>
      </c>
    </row>
    <row r="363" spans="1:18" ht="20.25" thickBot="1" x14ac:dyDescent="0.6">
      <c r="A363" s="3" t="s">
        <v>392</v>
      </c>
      <c r="B363" s="21">
        <v>46019</v>
      </c>
      <c r="C363" s="1" t="s">
        <v>23</v>
      </c>
      <c r="D363" s="1" t="s">
        <v>24</v>
      </c>
      <c r="E363" s="2">
        <v>7</v>
      </c>
      <c r="F363" s="1" t="s">
        <v>25</v>
      </c>
      <c r="G363" s="1" t="str">
        <f>INDEX(Table2[Nama Produk],MATCH(Table1[[#This Row],[SKU]],Table2[SKU],0))</f>
        <v>Mechanical Keyboard</v>
      </c>
      <c r="H363" s="1" t="str">
        <f>VLOOKUP(Table1[[#This Row],[SKU]],Table2[],3,FALSE)</f>
        <v>Aksesori</v>
      </c>
      <c r="I363" s="37">
        <f>INDEX(Table2[Harga Jual],MATCH(Table1[[#This Row],[SKU]],Table2[SKU],0))</f>
        <v>850000</v>
      </c>
      <c r="J363" s="37">
        <f>VLOOKUP(Table1[[#This Row],[SKU]],Table2[],4,FALSE)</f>
        <v>450000</v>
      </c>
      <c r="K363" s="37">
        <f>INDEX(Table3[Biaya Kirim per Unit],MATCH(Table1[[#This Row],[Kota]],Table3[Kota],))</f>
        <v>35000</v>
      </c>
      <c r="L363" s="39">
        <f>VLOOKUP(Table1[[#This Row],[Kode_Promo]],Table4[],2,FALSE)</f>
        <v>0.3</v>
      </c>
      <c r="M363" s="37">
        <f>Table1[[#This Row],[Jumlah_Unit]]*Table1[[#This Row],[Harga_Satuan]]</f>
        <v>5950000</v>
      </c>
      <c r="N363" s="37">
        <f>Table1[[#This Row],[Total_Pendapatan_Kotor]]*Table1[[#This Row],[Persentase_Diskon]]</f>
        <v>1785000</v>
      </c>
      <c r="O363" s="37">
        <f>Table1[[#This Row],[Total_Pendapatan_Kotor]]-Table1[[#This Row],[Potongan_Diskon]]</f>
        <v>4165000</v>
      </c>
      <c r="P363" s="37">
        <f>(Table1[[#This Row],[Jumlah_Unit]]*Table1[[#This Row],[HPP_Satuan]])+(Table1[[#This Row],[Jumlah_Unit]]*Table1[[#This Row],[Biaya_Kirim_Satuan]])</f>
        <v>3395000</v>
      </c>
      <c r="Q363" s="37">
        <f>Table1[[#This Row],[Total_Pendapatan_Bersih]]-Table1[[#This Row],[Total_Biaya]]</f>
        <v>770000</v>
      </c>
      <c r="R363" s="5">
        <f>Table1[[#This Row],[Laba_Kotor]]/Table1[[#This Row],[Total_Pendapatan_Bersih]]</f>
        <v>0.18487394957983194</v>
      </c>
    </row>
    <row r="364" spans="1:18" ht="20.25" thickBot="1" x14ac:dyDescent="0.6">
      <c r="A364" s="3" t="s">
        <v>393</v>
      </c>
      <c r="B364" s="21">
        <v>46020</v>
      </c>
      <c r="C364" s="1" t="s">
        <v>27</v>
      </c>
      <c r="D364" s="1" t="s">
        <v>28</v>
      </c>
      <c r="E364" s="2">
        <v>1</v>
      </c>
      <c r="F364" s="1" t="s">
        <v>29</v>
      </c>
      <c r="G364" s="1" t="str">
        <f>INDEX(Table2[Nama Produk],MATCH(Table1[[#This Row],[SKU]],Table2[SKU],0))</f>
        <v>Kursi Kerja Ergonomis</v>
      </c>
      <c r="H364" s="1" t="str">
        <f>VLOOKUP(Table1[[#This Row],[SKU]],Table2[],3,FALSE)</f>
        <v>Furnitur</v>
      </c>
      <c r="I364" s="37">
        <f>INDEX(Table2[Harga Jual],MATCH(Table1[[#This Row],[SKU]],Table2[SKU],0))</f>
        <v>2100000</v>
      </c>
      <c r="J364" s="37">
        <f>VLOOKUP(Table1[[#This Row],[SKU]],Table2[],4,FALSE)</f>
        <v>1200000</v>
      </c>
      <c r="K364" s="37">
        <f>INDEX(Table3[Biaya Kirim per Unit],MATCH(Table1[[#This Row],[Kota]],Table3[Kota],))</f>
        <v>50000</v>
      </c>
      <c r="L364" s="39">
        <f>VLOOKUP(Table1[[#This Row],[Kode_Promo]],Table4[],2,FALSE)</f>
        <v>0</v>
      </c>
      <c r="M364" s="37">
        <f>Table1[[#This Row],[Jumlah_Unit]]*Table1[[#This Row],[Harga_Satuan]]</f>
        <v>2100000</v>
      </c>
      <c r="N364" s="37">
        <f>Table1[[#This Row],[Total_Pendapatan_Kotor]]*Table1[[#This Row],[Persentase_Diskon]]</f>
        <v>0</v>
      </c>
      <c r="O364" s="37">
        <f>Table1[[#This Row],[Total_Pendapatan_Kotor]]-Table1[[#This Row],[Potongan_Diskon]]</f>
        <v>2100000</v>
      </c>
      <c r="P364" s="37">
        <f>(Table1[[#This Row],[Jumlah_Unit]]*Table1[[#This Row],[HPP_Satuan]])+(Table1[[#This Row],[Jumlah_Unit]]*Table1[[#This Row],[Biaya_Kirim_Satuan]])</f>
        <v>1250000</v>
      </c>
      <c r="Q364" s="37">
        <f>Table1[[#This Row],[Total_Pendapatan_Bersih]]-Table1[[#This Row],[Total_Biaya]]</f>
        <v>850000</v>
      </c>
      <c r="R364" s="5">
        <f>Table1[[#This Row],[Laba_Kotor]]/Table1[[#This Row],[Total_Pendapatan_Bersih]]</f>
        <v>0.40476190476190477</v>
      </c>
    </row>
    <row r="365" spans="1:18" ht="20.25" thickBot="1" x14ac:dyDescent="0.6">
      <c r="A365" s="3" t="s">
        <v>394</v>
      </c>
      <c r="B365" s="21">
        <v>46021</v>
      </c>
      <c r="C365" s="1" t="s">
        <v>31</v>
      </c>
      <c r="D365" s="1" t="s">
        <v>32</v>
      </c>
      <c r="E365" s="2">
        <v>4</v>
      </c>
      <c r="F365" s="1" t="s">
        <v>33</v>
      </c>
      <c r="G365" s="1" t="str">
        <f>INDEX(Table2[Nama Produk],MATCH(Table1[[#This Row],[SKU]],Table2[SKU],0))</f>
        <v>Monitor Ergonomis 27</v>
      </c>
      <c r="H365" s="1" t="str">
        <f>VLOOKUP(Table1[[#This Row],[SKU]],Table2[],3,FALSE)</f>
        <v>Elektronik</v>
      </c>
      <c r="I365" s="37">
        <f>INDEX(Table2[Harga Jual],MATCH(Table1[[#This Row],[SKU]],Table2[SKU],0))</f>
        <v>3400000</v>
      </c>
      <c r="J365" s="37">
        <f>VLOOKUP(Table1[[#This Row],[SKU]],Table2[],4,FALSE)</f>
        <v>2100000</v>
      </c>
      <c r="K365" s="37">
        <f>INDEX(Table3[Biaya Kirim per Unit],MATCH(Table1[[#This Row],[Kota]],Table3[Kota],))</f>
        <v>65000</v>
      </c>
      <c r="L365" s="39">
        <f>VLOOKUP(Table1[[#This Row],[Kode_Promo]],Table4[],2,FALSE)</f>
        <v>0.2</v>
      </c>
      <c r="M365" s="37">
        <f>Table1[[#This Row],[Jumlah_Unit]]*Table1[[#This Row],[Harga_Satuan]]</f>
        <v>13600000</v>
      </c>
      <c r="N365" s="37">
        <f>Table1[[#This Row],[Total_Pendapatan_Kotor]]*Table1[[#This Row],[Persentase_Diskon]]</f>
        <v>2720000</v>
      </c>
      <c r="O365" s="37">
        <f>Table1[[#This Row],[Total_Pendapatan_Kotor]]-Table1[[#This Row],[Potongan_Diskon]]</f>
        <v>10880000</v>
      </c>
      <c r="P365" s="37">
        <f>(Table1[[#This Row],[Jumlah_Unit]]*Table1[[#This Row],[HPP_Satuan]])+(Table1[[#This Row],[Jumlah_Unit]]*Table1[[#This Row],[Biaya_Kirim_Satuan]])</f>
        <v>8660000</v>
      </c>
      <c r="Q365" s="37">
        <f>Table1[[#This Row],[Total_Pendapatan_Bersih]]-Table1[[#This Row],[Total_Biaya]]</f>
        <v>2220000</v>
      </c>
      <c r="R365" s="5">
        <f>Table1[[#This Row],[Laba_Kotor]]/Table1[[#This Row],[Total_Pendapatan_Bersih]]</f>
        <v>0.20404411764705882</v>
      </c>
    </row>
    <row r="366" spans="1:18" ht="20.25" thickBot="1" x14ac:dyDescent="0.6">
      <c r="A366" s="3" t="s">
        <v>395</v>
      </c>
      <c r="B366" s="21">
        <v>46022</v>
      </c>
      <c r="C366" s="1" t="s">
        <v>19</v>
      </c>
      <c r="D366" s="1" t="s">
        <v>35</v>
      </c>
      <c r="E366" s="2">
        <v>5</v>
      </c>
      <c r="F366" s="1" t="s">
        <v>21</v>
      </c>
      <c r="G366" s="1" t="str">
        <f>INDEX(Table2[Nama Produk],MATCH(Table1[[#This Row],[SKU]],Table2[SKU],0))</f>
        <v>Meja Adjustable</v>
      </c>
      <c r="H366" s="1" t="str">
        <f>VLOOKUP(Table1[[#This Row],[SKU]],Table2[],3,FALSE)</f>
        <v>Furnitur</v>
      </c>
      <c r="I366" s="37">
        <f>INDEX(Table2[Harga Jual],MATCH(Table1[[#This Row],[SKU]],Table2[SKU],0))</f>
        <v>4200000</v>
      </c>
      <c r="J366" s="37">
        <f>VLOOKUP(Table1[[#This Row],[SKU]],Table2[],4,FALSE)</f>
        <v>2400000</v>
      </c>
      <c r="K366" s="37">
        <f>INDEX(Table3[Biaya Kirim per Unit],MATCH(Table1[[#This Row],[Kota]],Table3[Kota],))</f>
        <v>25000</v>
      </c>
      <c r="L366" s="39">
        <f>VLOOKUP(Table1[[#This Row],[Kode_Promo]],Table4[],2,FALSE)</f>
        <v>0.1</v>
      </c>
      <c r="M366" s="37">
        <f>Table1[[#This Row],[Jumlah_Unit]]*Table1[[#This Row],[Harga_Satuan]]</f>
        <v>21000000</v>
      </c>
      <c r="N366" s="37">
        <f>Table1[[#This Row],[Total_Pendapatan_Kotor]]*Table1[[#This Row],[Persentase_Diskon]]</f>
        <v>2100000</v>
      </c>
      <c r="O366" s="37">
        <f>Table1[[#This Row],[Total_Pendapatan_Kotor]]-Table1[[#This Row],[Potongan_Diskon]]</f>
        <v>18900000</v>
      </c>
      <c r="P366" s="37">
        <f>(Table1[[#This Row],[Jumlah_Unit]]*Table1[[#This Row],[HPP_Satuan]])+(Table1[[#This Row],[Jumlah_Unit]]*Table1[[#This Row],[Biaya_Kirim_Satuan]])</f>
        <v>12125000</v>
      </c>
      <c r="Q366" s="37">
        <f>Table1[[#This Row],[Total_Pendapatan_Bersih]]-Table1[[#This Row],[Total_Biaya]]</f>
        <v>6775000</v>
      </c>
      <c r="R366" s="5">
        <f>Table1[[#This Row],[Laba_Kotor]]/Table1[[#This Row],[Total_Pendapatan_Bersih]]</f>
        <v>0.35846560846560849</v>
      </c>
    </row>
    <row r="367" spans="1:18" ht="20.25" thickBot="1" x14ac:dyDescent="0.6">
      <c r="A367" s="3" t="s">
        <v>396</v>
      </c>
      <c r="B367" s="21">
        <v>45662</v>
      </c>
      <c r="C367" s="1" t="s">
        <v>23</v>
      </c>
      <c r="D367" s="1" t="s">
        <v>20</v>
      </c>
      <c r="E367" s="2">
        <v>2</v>
      </c>
      <c r="F367" s="1" t="s">
        <v>29</v>
      </c>
      <c r="G367" s="1" t="str">
        <f>INDEX(Table2[Nama Produk],MATCH(Table1[[#This Row],[SKU]],Table2[SKU],0))</f>
        <v>Laptop Pro 14</v>
      </c>
      <c r="H367" s="1" t="str">
        <f>VLOOKUP(Table1[[#This Row],[SKU]],Table2[],3,FALSE)</f>
        <v>Elektronik</v>
      </c>
      <c r="I367" s="37">
        <f>INDEX(Table2[Harga Jual],MATCH(Table1[[#This Row],[SKU]],Table2[SKU],0))</f>
        <v>12000000</v>
      </c>
      <c r="J367" s="37">
        <f>VLOOKUP(Table1[[#This Row],[SKU]],Table2[],4,FALSE)</f>
        <v>8500000</v>
      </c>
      <c r="K367" s="37">
        <f>INDEX(Table3[Biaya Kirim per Unit],MATCH(Table1[[#This Row],[Kota]],Table3[Kota],))</f>
        <v>35000</v>
      </c>
      <c r="L367" s="39">
        <f>VLOOKUP(Table1[[#This Row],[Kode_Promo]],Table4[],2,FALSE)</f>
        <v>0</v>
      </c>
      <c r="M367" s="37">
        <f>Table1[[#This Row],[Jumlah_Unit]]*Table1[[#This Row],[Harga_Satuan]]</f>
        <v>24000000</v>
      </c>
      <c r="N367" s="37">
        <f>Table1[[#This Row],[Total_Pendapatan_Kotor]]*Table1[[#This Row],[Persentase_Diskon]]</f>
        <v>0</v>
      </c>
      <c r="O367" s="37">
        <f>Table1[[#This Row],[Total_Pendapatan_Kotor]]-Table1[[#This Row],[Potongan_Diskon]]</f>
        <v>24000000</v>
      </c>
      <c r="P367" s="37">
        <f>(Table1[[#This Row],[Jumlah_Unit]]*Table1[[#This Row],[HPP_Satuan]])+(Table1[[#This Row],[Jumlah_Unit]]*Table1[[#This Row],[Biaya_Kirim_Satuan]])</f>
        <v>17070000</v>
      </c>
      <c r="Q367" s="37">
        <f>Table1[[#This Row],[Total_Pendapatan_Bersih]]-Table1[[#This Row],[Total_Biaya]]</f>
        <v>6930000</v>
      </c>
      <c r="R367" s="5">
        <f>Table1[[#This Row],[Laba_Kotor]]/Table1[[#This Row],[Total_Pendapatan_Bersih]]</f>
        <v>0.28875000000000001</v>
      </c>
    </row>
    <row r="368" spans="1:18" ht="20.25" thickBot="1" x14ac:dyDescent="0.6">
      <c r="A368" s="3" t="s">
        <v>397</v>
      </c>
      <c r="B368" s="21">
        <v>45669</v>
      </c>
      <c r="C368" s="1" t="s">
        <v>27</v>
      </c>
      <c r="D368" s="1" t="s">
        <v>24</v>
      </c>
      <c r="E368" s="2">
        <v>6</v>
      </c>
      <c r="F368" s="1" t="s">
        <v>25</v>
      </c>
      <c r="G368" s="1" t="str">
        <f>INDEX(Table2[Nama Produk],MATCH(Table1[[#This Row],[SKU]],Table2[SKU],0))</f>
        <v>Mechanical Keyboard</v>
      </c>
      <c r="H368" s="1" t="str">
        <f>VLOOKUP(Table1[[#This Row],[SKU]],Table2[],3,FALSE)</f>
        <v>Aksesori</v>
      </c>
      <c r="I368" s="37">
        <f>INDEX(Table2[Harga Jual],MATCH(Table1[[#This Row],[SKU]],Table2[SKU],0))</f>
        <v>850000</v>
      </c>
      <c r="J368" s="37">
        <f>VLOOKUP(Table1[[#This Row],[SKU]],Table2[],4,FALSE)</f>
        <v>450000</v>
      </c>
      <c r="K368" s="37">
        <f>INDEX(Table3[Biaya Kirim per Unit],MATCH(Table1[[#This Row],[Kota]],Table3[Kota],))</f>
        <v>50000</v>
      </c>
      <c r="L368" s="39">
        <f>VLOOKUP(Table1[[#This Row],[Kode_Promo]],Table4[],2,FALSE)</f>
        <v>0.3</v>
      </c>
      <c r="M368" s="37">
        <f>Table1[[#This Row],[Jumlah_Unit]]*Table1[[#This Row],[Harga_Satuan]]</f>
        <v>5100000</v>
      </c>
      <c r="N368" s="37">
        <f>Table1[[#This Row],[Total_Pendapatan_Kotor]]*Table1[[#This Row],[Persentase_Diskon]]</f>
        <v>1530000</v>
      </c>
      <c r="O368" s="37">
        <f>Table1[[#This Row],[Total_Pendapatan_Kotor]]-Table1[[#This Row],[Potongan_Diskon]]</f>
        <v>3570000</v>
      </c>
      <c r="P368" s="37">
        <f>(Table1[[#This Row],[Jumlah_Unit]]*Table1[[#This Row],[HPP_Satuan]])+(Table1[[#This Row],[Jumlah_Unit]]*Table1[[#This Row],[Biaya_Kirim_Satuan]])</f>
        <v>3000000</v>
      </c>
      <c r="Q368" s="37">
        <f>Table1[[#This Row],[Total_Pendapatan_Bersih]]-Table1[[#This Row],[Total_Biaya]]</f>
        <v>570000</v>
      </c>
      <c r="R368" s="5">
        <f>Table1[[#This Row],[Laba_Kotor]]/Table1[[#This Row],[Total_Pendapatan_Bersih]]</f>
        <v>0.15966386554621848</v>
      </c>
    </row>
    <row r="369" spans="1:18" ht="20.25" thickBot="1" x14ac:dyDescent="0.6">
      <c r="A369" s="3" t="s">
        <v>398</v>
      </c>
      <c r="B369" s="21">
        <v>45676</v>
      </c>
      <c r="C369" s="1" t="s">
        <v>31</v>
      </c>
      <c r="D369" s="1" t="s">
        <v>32</v>
      </c>
      <c r="E369" s="2">
        <v>3</v>
      </c>
      <c r="F369" s="1" t="s">
        <v>33</v>
      </c>
      <c r="G369" s="1" t="str">
        <f>INDEX(Table2[Nama Produk],MATCH(Table1[[#This Row],[SKU]],Table2[SKU],0))</f>
        <v>Monitor Ergonomis 27</v>
      </c>
      <c r="H369" s="1" t="str">
        <f>VLOOKUP(Table1[[#This Row],[SKU]],Table2[],3,FALSE)</f>
        <v>Elektronik</v>
      </c>
      <c r="I369" s="37">
        <f>INDEX(Table2[Harga Jual],MATCH(Table1[[#This Row],[SKU]],Table2[SKU],0))</f>
        <v>3400000</v>
      </c>
      <c r="J369" s="37">
        <f>VLOOKUP(Table1[[#This Row],[SKU]],Table2[],4,FALSE)</f>
        <v>2100000</v>
      </c>
      <c r="K369" s="37">
        <f>INDEX(Table3[Biaya Kirim per Unit],MATCH(Table1[[#This Row],[Kota]],Table3[Kota],))</f>
        <v>65000</v>
      </c>
      <c r="L369" s="39">
        <f>VLOOKUP(Table1[[#This Row],[Kode_Promo]],Table4[],2,FALSE)</f>
        <v>0.2</v>
      </c>
      <c r="M369" s="37">
        <f>Table1[[#This Row],[Jumlah_Unit]]*Table1[[#This Row],[Harga_Satuan]]</f>
        <v>10200000</v>
      </c>
      <c r="N369" s="37">
        <f>Table1[[#This Row],[Total_Pendapatan_Kotor]]*Table1[[#This Row],[Persentase_Diskon]]</f>
        <v>2040000</v>
      </c>
      <c r="O369" s="37">
        <f>Table1[[#This Row],[Total_Pendapatan_Kotor]]-Table1[[#This Row],[Potongan_Diskon]]</f>
        <v>8160000</v>
      </c>
      <c r="P369" s="37">
        <f>(Table1[[#This Row],[Jumlah_Unit]]*Table1[[#This Row],[HPP_Satuan]])+(Table1[[#This Row],[Jumlah_Unit]]*Table1[[#This Row],[Biaya_Kirim_Satuan]])</f>
        <v>6495000</v>
      </c>
      <c r="Q369" s="37">
        <f>Table1[[#This Row],[Total_Pendapatan_Bersih]]-Table1[[#This Row],[Total_Biaya]]</f>
        <v>1665000</v>
      </c>
      <c r="R369" s="5">
        <f>Table1[[#This Row],[Laba_Kotor]]/Table1[[#This Row],[Total_Pendapatan_Bersih]]</f>
        <v>0.20404411764705882</v>
      </c>
    </row>
    <row r="370" spans="1:18" ht="20.25" thickBot="1" x14ac:dyDescent="0.6">
      <c r="A370" s="3" t="s">
        <v>399</v>
      </c>
      <c r="B370" s="21">
        <v>45683</v>
      </c>
      <c r="C370" s="1" t="s">
        <v>19</v>
      </c>
      <c r="D370" s="1" t="s">
        <v>28</v>
      </c>
      <c r="E370" s="2">
        <v>4</v>
      </c>
      <c r="F370" s="1" t="s">
        <v>21</v>
      </c>
      <c r="G370" s="1" t="str">
        <f>INDEX(Table2[Nama Produk],MATCH(Table1[[#This Row],[SKU]],Table2[SKU],0))</f>
        <v>Kursi Kerja Ergonomis</v>
      </c>
      <c r="H370" s="1" t="str">
        <f>VLOOKUP(Table1[[#This Row],[SKU]],Table2[],3,FALSE)</f>
        <v>Furnitur</v>
      </c>
      <c r="I370" s="37">
        <f>INDEX(Table2[Harga Jual],MATCH(Table1[[#This Row],[SKU]],Table2[SKU],0))</f>
        <v>2100000</v>
      </c>
      <c r="J370" s="37">
        <f>VLOOKUP(Table1[[#This Row],[SKU]],Table2[],4,FALSE)</f>
        <v>1200000</v>
      </c>
      <c r="K370" s="37">
        <f>INDEX(Table3[Biaya Kirim per Unit],MATCH(Table1[[#This Row],[Kota]],Table3[Kota],))</f>
        <v>25000</v>
      </c>
      <c r="L370" s="39">
        <f>VLOOKUP(Table1[[#This Row],[Kode_Promo]],Table4[],2,FALSE)</f>
        <v>0.1</v>
      </c>
      <c r="M370" s="37">
        <f>Table1[[#This Row],[Jumlah_Unit]]*Table1[[#This Row],[Harga_Satuan]]</f>
        <v>8400000</v>
      </c>
      <c r="N370" s="37">
        <f>Table1[[#This Row],[Total_Pendapatan_Kotor]]*Table1[[#This Row],[Persentase_Diskon]]</f>
        <v>840000</v>
      </c>
      <c r="O370" s="37">
        <f>Table1[[#This Row],[Total_Pendapatan_Kotor]]-Table1[[#This Row],[Potongan_Diskon]]</f>
        <v>7560000</v>
      </c>
      <c r="P370" s="37">
        <f>(Table1[[#This Row],[Jumlah_Unit]]*Table1[[#This Row],[HPP_Satuan]])+(Table1[[#This Row],[Jumlah_Unit]]*Table1[[#This Row],[Biaya_Kirim_Satuan]])</f>
        <v>4900000</v>
      </c>
      <c r="Q370" s="37">
        <f>Table1[[#This Row],[Total_Pendapatan_Bersih]]-Table1[[#This Row],[Total_Biaya]]</f>
        <v>2660000</v>
      </c>
      <c r="R370" s="5">
        <f>Table1[[#This Row],[Laba_Kotor]]/Table1[[#This Row],[Total_Pendapatan_Bersih]]</f>
        <v>0.35185185185185186</v>
      </c>
    </row>
    <row r="371" spans="1:18" ht="20.25" thickBot="1" x14ac:dyDescent="0.6">
      <c r="A371" s="3" t="s">
        <v>400</v>
      </c>
      <c r="B371" s="21">
        <v>45690</v>
      </c>
      <c r="C371" s="1" t="s">
        <v>23</v>
      </c>
      <c r="D371" s="1" t="s">
        <v>35</v>
      </c>
      <c r="E371" s="2">
        <v>2</v>
      </c>
      <c r="F371" s="1" t="s">
        <v>25</v>
      </c>
      <c r="G371" s="1" t="str">
        <f>INDEX(Table2[Nama Produk],MATCH(Table1[[#This Row],[SKU]],Table2[SKU],0))</f>
        <v>Meja Adjustable</v>
      </c>
      <c r="H371" s="1" t="str">
        <f>VLOOKUP(Table1[[#This Row],[SKU]],Table2[],3,FALSE)</f>
        <v>Furnitur</v>
      </c>
      <c r="I371" s="37">
        <f>INDEX(Table2[Harga Jual],MATCH(Table1[[#This Row],[SKU]],Table2[SKU],0))</f>
        <v>4200000</v>
      </c>
      <c r="J371" s="37">
        <f>VLOOKUP(Table1[[#This Row],[SKU]],Table2[],4,FALSE)</f>
        <v>2400000</v>
      </c>
      <c r="K371" s="37">
        <f>INDEX(Table3[Biaya Kirim per Unit],MATCH(Table1[[#This Row],[Kota]],Table3[Kota],))</f>
        <v>35000</v>
      </c>
      <c r="L371" s="39">
        <f>VLOOKUP(Table1[[#This Row],[Kode_Promo]],Table4[],2,FALSE)</f>
        <v>0.3</v>
      </c>
      <c r="M371" s="37">
        <f>Table1[[#This Row],[Jumlah_Unit]]*Table1[[#This Row],[Harga_Satuan]]</f>
        <v>8400000</v>
      </c>
      <c r="N371" s="37">
        <f>Table1[[#This Row],[Total_Pendapatan_Kotor]]*Table1[[#This Row],[Persentase_Diskon]]</f>
        <v>2520000</v>
      </c>
      <c r="O371" s="37">
        <f>Table1[[#This Row],[Total_Pendapatan_Kotor]]-Table1[[#This Row],[Potongan_Diskon]]</f>
        <v>5880000</v>
      </c>
      <c r="P371" s="37">
        <f>(Table1[[#This Row],[Jumlah_Unit]]*Table1[[#This Row],[HPP_Satuan]])+(Table1[[#This Row],[Jumlah_Unit]]*Table1[[#This Row],[Biaya_Kirim_Satuan]])</f>
        <v>4870000</v>
      </c>
      <c r="Q371" s="37">
        <f>Table1[[#This Row],[Total_Pendapatan_Bersih]]-Table1[[#This Row],[Total_Biaya]]</f>
        <v>1010000</v>
      </c>
      <c r="R371" s="5">
        <f>Table1[[#This Row],[Laba_Kotor]]/Table1[[#This Row],[Total_Pendapatan_Bersih]]</f>
        <v>0.17176870748299319</v>
      </c>
    </row>
    <row r="372" spans="1:18" ht="20.25" thickBot="1" x14ac:dyDescent="0.6">
      <c r="A372" s="3" t="s">
        <v>401</v>
      </c>
      <c r="B372" s="21">
        <v>45697</v>
      </c>
      <c r="C372" s="1" t="s">
        <v>27</v>
      </c>
      <c r="D372" s="1" t="s">
        <v>20</v>
      </c>
      <c r="E372" s="2">
        <v>1</v>
      </c>
      <c r="F372" s="1" t="s">
        <v>29</v>
      </c>
      <c r="G372" s="1" t="str">
        <f>INDEX(Table2[Nama Produk],MATCH(Table1[[#This Row],[SKU]],Table2[SKU],0))</f>
        <v>Laptop Pro 14</v>
      </c>
      <c r="H372" s="1" t="str">
        <f>VLOOKUP(Table1[[#This Row],[SKU]],Table2[],3,FALSE)</f>
        <v>Elektronik</v>
      </c>
      <c r="I372" s="37">
        <f>INDEX(Table2[Harga Jual],MATCH(Table1[[#This Row],[SKU]],Table2[SKU],0))</f>
        <v>12000000</v>
      </c>
      <c r="J372" s="37">
        <f>VLOOKUP(Table1[[#This Row],[SKU]],Table2[],4,FALSE)</f>
        <v>8500000</v>
      </c>
      <c r="K372" s="37">
        <f>INDEX(Table3[Biaya Kirim per Unit],MATCH(Table1[[#This Row],[Kota]],Table3[Kota],))</f>
        <v>50000</v>
      </c>
      <c r="L372" s="39">
        <f>VLOOKUP(Table1[[#This Row],[Kode_Promo]],Table4[],2,FALSE)</f>
        <v>0</v>
      </c>
      <c r="M372" s="37">
        <f>Table1[[#This Row],[Jumlah_Unit]]*Table1[[#This Row],[Harga_Satuan]]</f>
        <v>12000000</v>
      </c>
      <c r="N372" s="37">
        <f>Table1[[#This Row],[Total_Pendapatan_Kotor]]*Table1[[#This Row],[Persentase_Diskon]]</f>
        <v>0</v>
      </c>
      <c r="O372" s="37">
        <f>Table1[[#This Row],[Total_Pendapatan_Kotor]]-Table1[[#This Row],[Potongan_Diskon]]</f>
        <v>12000000</v>
      </c>
      <c r="P372" s="37">
        <f>(Table1[[#This Row],[Jumlah_Unit]]*Table1[[#This Row],[HPP_Satuan]])+(Table1[[#This Row],[Jumlah_Unit]]*Table1[[#This Row],[Biaya_Kirim_Satuan]])</f>
        <v>8550000</v>
      </c>
      <c r="Q372" s="37">
        <f>Table1[[#This Row],[Total_Pendapatan_Bersih]]-Table1[[#This Row],[Total_Biaya]]</f>
        <v>3450000</v>
      </c>
      <c r="R372" s="5">
        <f>Table1[[#This Row],[Laba_Kotor]]/Table1[[#This Row],[Total_Pendapatan_Bersih]]</f>
        <v>0.28749999999999998</v>
      </c>
    </row>
    <row r="373" spans="1:18" ht="20.25" thickBot="1" x14ac:dyDescent="0.6">
      <c r="A373" s="3" t="s">
        <v>402</v>
      </c>
      <c r="B373" s="21">
        <v>45704</v>
      </c>
      <c r="C373" s="1" t="s">
        <v>31</v>
      </c>
      <c r="D373" s="1" t="s">
        <v>24</v>
      </c>
      <c r="E373" s="2">
        <v>7</v>
      </c>
      <c r="F373" s="1" t="s">
        <v>33</v>
      </c>
      <c r="G373" s="1" t="str">
        <f>INDEX(Table2[Nama Produk],MATCH(Table1[[#This Row],[SKU]],Table2[SKU],0))</f>
        <v>Mechanical Keyboard</v>
      </c>
      <c r="H373" s="1" t="str">
        <f>VLOOKUP(Table1[[#This Row],[SKU]],Table2[],3,FALSE)</f>
        <v>Aksesori</v>
      </c>
      <c r="I373" s="37">
        <f>INDEX(Table2[Harga Jual],MATCH(Table1[[#This Row],[SKU]],Table2[SKU],0))</f>
        <v>850000</v>
      </c>
      <c r="J373" s="37">
        <f>VLOOKUP(Table1[[#This Row],[SKU]],Table2[],4,FALSE)</f>
        <v>450000</v>
      </c>
      <c r="K373" s="37">
        <f>INDEX(Table3[Biaya Kirim per Unit],MATCH(Table1[[#This Row],[Kota]],Table3[Kota],))</f>
        <v>65000</v>
      </c>
      <c r="L373" s="39">
        <f>VLOOKUP(Table1[[#This Row],[Kode_Promo]],Table4[],2,FALSE)</f>
        <v>0.2</v>
      </c>
      <c r="M373" s="37">
        <f>Table1[[#This Row],[Jumlah_Unit]]*Table1[[#This Row],[Harga_Satuan]]</f>
        <v>5950000</v>
      </c>
      <c r="N373" s="37">
        <f>Table1[[#This Row],[Total_Pendapatan_Kotor]]*Table1[[#This Row],[Persentase_Diskon]]</f>
        <v>1190000</v>
      </c>
      <c r="O373" s="37">
        <f>Table1[[#This Row],[Total_Pendapatan_Kotor]]-Table1[[#This Row],[Potongan_Diskon]]</f>
        <v>4760000</v>
      </c>
      <c r="P373" s="37">
        <f>(Table1[[#This Row],[Jumlah_Unit]]*Table1[[#This Row],[HPP_Satuan]])+(Table1[[#This Row],[Jumlah_Unit]]*Table1[[#This Row],[Biaya_Kirim_Satuan]])</f>
        <v>3605000</v>
      </c>
      <c r="Q373" s="37">
        <f>Table1[[#This Row],[Total_Pendapatan_Bersih]]-Table1[[#This Row],[Total_Biaya]]</f>
        <v>1155000</v>
      </c>
      <c r="R373" s="5">
        <f>Table1[[#This Row],[Laba_Kotor]]/Table1[[#This Row],[Total_Pendapatan_Bersih]]</f>
        <v>0.24264705882352941</v>
      </c>
    </row>
    <row r="374" spans="1:18" ht="20.25" thickBot="1" x14ac:dyDescent="0.6">
      <c r="A374" s="3" t="s">
        <v>403</v>
      </c>
      <c r="B374" s="21">
        <v>45711</v>
      </c>
      <c r="C374" s="1" t="s">
        <v>19</v>
      </c>
      <c r="D374" s="1" t="s">
        <v>32</v>
      </c>
      <c r="E374" s="2">
        <v>5</v>
      </c>
      <c r="F374" s="1" t="s">
        <v>21</v>
      </c>
      <c r="G374" s="1" t="str">
        <f>INDEX(Table2[Nama Produk],MATCH(Table1[[#This Row],[SKU]],Table2[SKU],0))</f>
        <v>Monitor Ergonomis 27</v>
      </c>
      <c r="H374" s="1" t="str">
        <f>VLOOKUP(Table1[[#This Row],[SKU]],Table2[],3,FALSE)</f>
        <v>Elektronik</v>
      </c>
      <c r="I374" s="37">
        <f>INDEX(Table2[Harga Jual],MATCH(Table1[[#This Row],[SKU]],Table2[SKU],0))</f>
        <v>3400000</v>
      </c>
      <c r="J374" s="37">
        <f>VLOOKUP(Table1[[#This Row],[SKU]],Table2[],4,FALSE)</f>
        <v>2100000</v>
      </c>
      <c r="K374" s="37">
        <f>INDEX(Table3[Biaya Kirim per Unit],MATCH(Table1[[#This Row],[Kota]],Table3[Kota],))</f>
        <v>25000</v>
      </c>
      <c r="L374" s="39">
        <f>VLOOKUP(Table1[[#This Row],[Kode_Promo]],Table4[],2,FALSE)</f>
        <v>0.1</v>
      </c>
      <c r="M374" s="37">
        <f>Table1[[#This Row],[Jumlah_Unit]]*Table1[[#This Row],[Harga_Satuan]]</f>
        <v>17000000</v>
      </c>
      <c r="N374" s="37">
        <f>Table1[[#This Row],[Total_Pendapatan_Kotor]]*Table1[[#This Row],[Persentase_Diskon]]</f>
        <v>1700000</v>
      </c>
      <c r="O374" s="37">
        <f>Table1[[#This Row],[Total_Pendapatan_Kotor]]-Table1[[#This Row],[Potongan_Diskon]]</f>
        <v>15300000</v>
      </c>
      <c r="P374" s="37">
        <f>(Table1[[#This Row],[Jumlah_Unit]]*Table1[[#This Row],[HPP_Satuan]])+(Table1[[#This Row],[Jumlah_Unit]]*Table1[[#This Row],[Biaya_Kirim_Satuan]])</f>
        <v>10625000</v>
      </c>
      <c r="Q374" s="37">
        <f>Table1[[#This Row],[Total_Pendapatan_Bersih]]-Table1[[#This Row],[Total_Biaya]]</f>
        <v>4675000</v>
      </c>
      <c r="R374" s="5">
        <f>Table1[[#This Row],[Laba_Kotor]]/Table1[[#This Row],[Total_Pendapatan_Bersih]]</f>
        <v>0.30555555555555558</v>
      </c>
    </row>
    <row r="375" spans="1:18" ht="20.25" thickBot="1" x14ac:dyDescent="0.6">
      <c r="A375" s="3" t="s">
        <v>404</v>
      </c>
      <c r="B375" s="21">
        <v>45718</v>
      </c>
      <c r="C375" s="1" t="s">
        <v>23</v>
      </c>
      <c r="D375" s="1" t="s">
        <v>28</v>
      </c>
      <c r="E375" s="2">
        <v>2</v>
      </c>
      <c r="F375" s="1" t="s">
        <v>25</v>
      </c>
      <c r="G375" s="1" t="str">
        <f>INDEX(Table2[Nama Produk],MATCH(Table1[[#This Row],[SKU]],Table2[SKU],0))</f>
        <v>Kursi Kerja Ergonomis</v>
      </c>
      <c r="H375" s="1" t="str">
        <f>VLOOKUP(Table1[[#This Row],[SKU]],Table2[],3,FALSE)</f>
        <v>Furnitur</v>
      </c>
      <c r="I375" s="37">
        <f>INDEX(Table2[Harga Jual],MATCH(Table1[[#This Row],[SKU]],Table2[SKU],0))</f>
        <v>2100000</v>
      </c>
      <c r="J375" s="37">
        <f>VLOOKUP(Table1[[#This Row],[SKU]],Table2[],4,FALSE)</f>
        <v>1200000</v>
      </c>
      <c r="K375" s="37">
        <f>INDEX(Table3[Biaya Kirim per Unit],MATCH(Table1[[#This Row],[Kota]],Table3[Kota],))</f>
        <v>35000</v>
      </c>
      <c r="L375" s="39">
        <f>VLOOKUP(Table1[[#This Row],[Kode_Promo]],Table4[],2,FALSE)</f>
        <v>0.3</v>
      </c>
      <c r="M375" s="37">
        <f>Table1[[#This Row],[Jumlah_Unit]]*Table1[[#This Row],[Harga_Satuan]]</f>
        <v>4200000</v>
      </c>
      <c r="N375" s="37">
        <f>Table1[[#This Row],[Total_Pendapatan_Kotor]]*Table1[[#This Row],[Persentase_Diskon]]</f>
        <v>1260000</v>
      </c>
      <c r="O375" s="37">
        <f>Table1[[#This Row],[Total_Pendapatan_Kotor]]-Table1[[#This Row],[Potongan_Diskon]]</f>
        <v>2940000</v>
      </c>
      <c r="P375" s="37">
        <f>(Table1[[#This Row],[Jumlah_Unit]]*Table1[[#This Row],[HPP_Satuan]])+(Table1[[#This Row],[Jumlah_Unit]]*Table1[[#This Row],[Biaya_Kirim_Satuan]])</f>
        <v>2470000</v>
      </c>
      <c r="Q375" s="37">
        <f>Table1[[#This Row],[Total_Pendapatan_Bersih]]-Table1[[#This Row],[Total_Biaya]]</f>
        <v>470000</v>
      </c>
      <c r="R375" s="5">
        <f>Table1[[#This Row],[Laba_Kotor]]/Table1[[#This Row],[Total_Pendapatan_Bersih]]</f>
        <v>0.1598639455782313</v>
      </c>
    </row>
    <row r="376" spans="1:18" ht="20.25" thickBot="1" x14ac:dyDescent="0.6">
      <c r="A376" s="3" t="s">
        <v>405</v>
      </c>
      <c r="B376" s="21">
        <v>45725</v>
      </c>
      <c r="C376" s="1" t="s">
        <v>27</v>
      </c>
      <c r="D376" s="1" t="s">
        <v>35</v>
      </c>
      <c r="E376" s="2">
        <v>3</v>
      </c>
      <c r="F376" s="1" t="s">
        <v>29</v>
      </c>
      <c r="G376" s="1" t="str">
        <f>INDEX(Table2[Nama Produk],MATCH(Table1[[#This Row],[SKU]],Table2[SKU],0))</f>
        <v>Meja Adjustable</v>
      </c>
      <c r="H376" s="1" t="str">
        <f>VLOOKUP(Table1[[#This Row],[SKU]],Table2[],3,FALSE)</f>
        <v>Furnitur</v>
      </c>
      <c r="I376" s="37">
        <f>INDEX(Table2[Harga Jual],MATCH(Table1[[#This Row],[SKU]],Table2[SKU],0))</f>
        <v>4200000</v>
      </c>
      <c r="J376" s="37">
        <f>VLOOKUP(Table1[[#This Row],[SKU]],Table2[],4,FALSE)</f>
        <v>2400000</v>
      </c>
      <c r="K376" s="37">
        <f>INDEX(Table3[Biaya Kirim per Unit],MATCH(Table1[[#This Row],[Kota]],Table3[Kota],))</f>
        <v>50000</v>
      </c>
      <c r="L376" s="39">
        <f>VLOOKUP(Table1[[#This Row],[Kode_Promo]],Table4[],2,FALSE)</f>
        <v>0</v>
      </c>
      <c r="M376" s="37">
        <f>Table1[[#This Row],[Jumlah_Unit]]*Table1[[#This Row],[Harga_Satuan]]</f>
        <v>12600000</v>
      </c>
      <c r="N376" s="37">
        <f>Table1[[#This Row],[Total_Pendapatan_Kotor]]*Table1[[#This Row],[Persentase_Diskon]]</f>
        <v>0</v>
      </c>
      <c r="O376" s="37">
        <f>Table1[[#This Row],[Total_Pendapatan_Kotor]]-Table1[[#This Row],[Potongan_Diskon]]</f>
        <v>12600000</v>
      </c>
      <c r="P376" s="37">
        <f>(Table1[[#This Row],[Jumlah_Unit]]*Table1[[#This Row],[HPP_Satuan]])+(Table1[[#This Row],[Jumlah_Unit]]*Table1[[#This Row],[Biaya_Kirim_Satuan]])</f>
        <v>7350000</v>
      </c>
      <c r="Q376" s="37">
        <f>Table1[[#This Row],[Total_Pendapatan_Bersih]]-Table1[[#This Row],[Total_Biaya]]</f>
        <v>5250000</v>
      </c>
      <c r="R376" s="5">
        <f>Table1[[#This Row],[Laba_Kotor]]/Table1[[#This Row],[Total_Pendapatan_Bersih]]</f>
        <v>0.41666666666666669</v>
      </c>
    </row>
    <row r="377" spans="1:18" ht="20.25" thickBot="1" x14ac:dyDescent="0.6">
      <c r="A377" s="3" t="s">
        <v>406</v>
      </c>
      <c r="B377" s="21">
        <v>45732</v>
      </c>
      <c r="C377" s="1" t="s">
        <v>31</v>
      </c>
      <c r="D377" s="1" t="s">
        <v>20</v>
      </c>
      <c r="E377" s="2">
        <v>2</v>
      </c>
      <c r="F377" s="1" t="s">
        <v>33</v>
      </c>
      <c r="G377" s="1" t="str">
        <f>INDEX(Table2[Nama Produk],MATCH(Table1[[#This Row],[SKU]],Table2[SKU],0))</f>
        <v>Laptop Pro 14</v>
      </c>
      <c r="H377" s="1" t="str">
        <f>VLOOKUP(Table1[[#This Row],[SKU]],Table2[],3,FALSE)</f>
        <v>Elektronik</v>
      </c>
      <c r="I377" s="37">
        <f>INDEX(Table2[Harga Jual],MATCH(Table1[[#This Row],[SKU]],Table2[SKU],0))</f>
        <v>12000000</v>
      </c>
      <c r="J377" s="37">
        <f>VLOOKUP(Table1[[#This Row],[SKU]],Table2[],4,FALSE)</f>
        <v>8500000</v>
      </c>
      <c r="K377" s="37">
        <f>INDEX(Table3[Biaya Kirim per Unit],MATCH(Table1[[#This Row],[Kota]],Table3[Kota],))</f>
        <v>65000</v>
      </c>
      <c r="L377" s="39">
        <f>VLOOKUP(Table1[[#This Row],[Kode_Promo]],Table4[],2,FALSE)</f>
        <v>0.2</v>
      </c>
      <c r="M377" s="37">
        <f>Table1[[#This Row],[Jumlah_Unit]]*Table1[[#This Row],[Harga_Satuan]]</f>
        <v>24000000</v>
      </c>
      <c r="N377" s="37">
        <f>Table1[[#This Row],[Total_Pendapatan_Kotor]]*Table1[[#This Row],[Persentase_Diskon]]</f>
        <v>4800000</v>
      </c>
      <c r="O377" s="37">
        <f>Table1[[#This Row],[Total_Pendapatan_Kotor]]-Table1[[#This Row],[Potongan_Diskon]]</f>
        <v>19200000</v>
      </c>
      <c r="P377" s="37">
        <f>(Table1[[#This Row],[Jumlah_Unit]]*Table1[[#This Row],[HPP_Satuan]])+(Table1[[#This Row],[Jumlah_Unit]]*Table1[[#This Row],[Biaya_Kirim_Satuan]])</f>
        <v>17130000</v>
      </c>
      <c r="Q377" s="37">
        <f>Table1[[#This Row],[Total_Pendapatan_Bersih]]-Table1[[#This Row],[Total_Biaya]]</f>
        <v>2070000</v>
      </c>
      <c r="R377" s="5">
        <f>Table1[[#This Row],[Laba_Kotor]]/Table1[[#This Row],[Total_Pendapatan_Bersih]]</f>
        <v>0.10781250000000001</v>
      </c>
    </row>
    <row r="378" spans="1:18" ht="20.25" thickBot="1" x14ac:dyDescent="0.6">
      <c r="A378" s="3" t="s">
        <v>407</v>
      </c>
      <c r="B378" s="21">
        <v>45739</v>
      </c>
      <c r="C378" s="1" t="s">
        <v>19</v>
      </c>
      <c r="D378" s="1" t="s">
        <v>24</v>
      </c>
      <c r="E378" s="2">
        <v>8</v>
      </c>
      <c r="F378" s="1" t="s">
        <v>21</v>
      </c>
      <c r="G378" s="1" t="str">
        <f>INDEX(Table2[Nama Produk],MATCH(Table1[[#This Row],[SKU]],Table2[SKU],0))</f>
        <v>Mechanical Keyboard</v>
      </c>
      <c r="H378" s="1" t="str">
        <f>VLOOKUP(Table1[[#This Row],[SKU]],Table2[],3,FALSE)</f>
        <v>Aksesori</v>
      </c>
      <c r="I378" s="37">
        <f>INDEX(Table2[Harga Jual],MATCH(Table1[[#This Row],[SKU]],Table2[SKU],0))</f>
        <v>850000</v>
      </c>
      <c r="J378" s="37">
        <f>VLOOKUP(Table1[[#This Row],[SKU]],Table2[],4,FALSE)</f>
        <v>450000</v>
      </c>
      <c r="K378" s="37">
        <f>INDEX(Table3[Biaya Kirim per Unit],MATCH(Table1[[#This Row],[Kota]],Table3[Kota],))</f>
        <v>25000</v>
      </c>
      <c r="L378" s="39">
        <f>VLOOKUP(Table1[[#This Row],[Kode_Promo]],Table4[],2,FALSE)</f>
        <v>0.1</v>
      </c>
      <c r="M378" s="37">
        <f>Table1[[#This Row],[Jumlah_Unit]]*Table1[[#This Row],[Harga_Satuan]]</f>
        <v>6800000</v>
      </c>
      <c r="N378" s="37">
        <f>Table1[[#This Row],[Total_Pendapatan_Kotor]]*Table1[[#This Row],[Persentase_Diskon]]</f>
        <v>680000</v>
      </c>
      <c r="O378" s="37">
        <f>Table1[[#This Row],[Total_Pendapatan_Kotor]]-Table1[[#This Row],[Potongan_Diskon]]</f>
        <v>6120000</v>
      </c>
      <c r="P378" s="37">
        <f>(Table1[[#This Row],[Jumlah_Unit]]*Table1[[#This Row],[HPP_Satuan]])+(Table1[[#This Row],[Jumlah_Unit]]*Table1[[#This Row],[Biaya_Kirim_Satuan]])</f>
        <v>3800000</v>
      </c>
      <c r="Q378" s="37">
        <f>Table1[[#This Row],[Total_Pendapatan_Bersih]]-Table1[[#This Row],[Total_Biaya]]</f>
        <v>2320000</v>
      </c>
      <c r="R378" s="5">
        <f>Table1[[#This Row],[Laba_Kotor]]/Table1[[#This Row],[Total_Pendapatan_Bersih]]</f>
        <v>0.37908496732026142</v>
      </c>
    </row>
    <row r="379" spans="1:18" ht="20.25" thickBot="1" x14ac:dyDescent="0.6">
      <c r="A379" s="3" t="s">
        <v>408</v>
      </c>
      <c r="B379" s="21">
        <v>45746</v>
      </c>
      <c r="C379" s="1" t="s">
        <v>23</v>
      </c>
      <c r="D379" s="1" t="s">
        <v>32</v>
      </c>
      <c r="E379" s="2">
        <v>1</v>
      </c>
      <c r="F379" s="1" t="s">
        <v>25</v>
      </c>
      <c r="G379" s="1" t="str">
        <f>INDEX(Table2[Nama Produk],MATCH(Table1[[#This Row],[SKU]],Table2[SKU],0))</f>
        <v>Monitor Ergonomis 27</v>
      </c>
      <c r="H379" s="1" t="str">
        <f>VLOOKUP(Table1[[#This Row],[SKU]],Table2[],3,FALSE)</f>
        <v>Elektronik</v>
      </c>
      <c r="I379" s="37">
        <f>INDEX(Table2[Harga Jual],MATCH(Table1[[#This Row],[SKU]],Table2[SKU],0))</f>
        <v>3400000</v>
      </c>
      <c r="J379" s="37">
        <f>VLOOKUP(Table1[[#This Row],[SKU]],Table2[],4,FALSE)</f>
        <v>2100000</v>
      </c>
      <c r="K379" s="37">
        <f>INDEX(Table3[Biaya Kirim per Unit],MATCH(Table1[[#This Row],[Kota]],Table3[Kota],))</f>
        <v>35000</v>
      </c>
      <c r="L379" s="39">
        <f>VLOOKUP(Table1[[#This Row],[Kode_Promo]],Table4[],2,FALSE)</f>
        <v>0.3</v>
      </c>
      <c r="M379" s="37">
        <f>Table1[[#This Row],[Jumlah_Unit]]*Table1[[#This Row],[Harga_Satuan]]</f>
        <v>3400000</v>
      </c>
      <c r="N379" s="37">
        <f>Table1[[#This Row],[Total_Pendapatan_Kotor]]*Table1[[#This Row],[Persentase_Diskon]]</f>
        <v>1020000</v>
      </c>
      <c r="O379" s="37">
        <f>Table1[[#This Row],[Total_Pendapatan_Kotor]]-Table1[[#This Row],[Potongan_Diskon]]</f>
        <v>2380000</v>
      </c>
      <c r="P379" s="37">
        <f>(Table1[[#This Row],[Jumlah_Unit]]*Table1[[#This Row],[HPP_Satuan]])+(Table1[[#This Row],[Jumlah_Unit]]*Table1[[#This Row],[Biaya_Kirim_Satuan]])</f>
        <v>2135000</v>
      </c>
      <c r="Q379" s="37">
        <f>Table1[[#This Row],[Total_Pendapatan_Bersih]]-Table1[[#This Row],[Total_Biaya]]</f>
        <v>245000</v>
      </c>
      <c r="R379" s="5">
        <f>Table1[[#This Row],[Laba_Kotor]]/Table1[[#This Row],[Total_Pendapatan_Bersih]]</f>
        <v>0.10294117647058823</v>
      </c>
    </row>
    <row r="380" spans="1:18" ht="20.25" thickBot="1" x14ac:dyDescent="0.6">
      <c r="A380" s="3" t="s">
        <v>409</v>
      </c>
      <c r="B380" s="21">
        <v>45753</v>
      </c>
      <c r="C380" s="1" t="s">
        <v>27</v>
      </c>
      <c r="D380" s="1" t="s">
        <v>28</v>
      </c>
      <c r="E380" s="2">
        <v>3</v>
      </c>
      <c r="F380" s="1" t="s">
        <v>29</v>
      </c>
      <c r="G380" s="1" t="str">
        <f>INDEX(Table2[Nama Produk],MATCH(Table1[[#This Row],[SKU]],Table2[SKU],0))</f>
        <v>Kursi Kerja Ergonomis</v>
      </c>
      <c r="H380" s="1" t="str">
        <f>VLOOKUP(Table1[[#This Row],[SKU]],Table2[],3,FALSE)</f>
        <v>Furnitur</v>
      </c>
      <c r="I380" s="37">
        <f>INDEX(Table2[Harga Jual],MATCH(Table1[[#This Row],[SKU]],Table2[SKU],0))</f>
        <v>2100000</v>
      </c>
      <c r="J380" s="37">
        <f>VLOOKUP(Table1[[#This Row],[SKU]],Table2[],4,FALSE)</f>
        <v>1200000</v>
      </c>
      <c r="K380" s="37">
        <f>INDEX(Table3[Biaya Kirim per Unit],MATCH(Table1[[#This Row],[Kota]],Table3[Kota],))</f>
        <v>50000</v>
      </c>
      <c r="L380" s="39">
        <f>VLOOKUP(Table1[[#This Row],[Kode_Promo]],Table4[],2,FALSE)</f>
        <v>0</v>
      </c>
      <c r="M380" s="37">
        <f>Table1[[#This Row],[Jumlah_Unit]]*Table1[[#This Row],[Harga_Satuan]]</f>
        <v>6300000</v>
      </c>
      <c r="N380" s="37">
        <f>Table1[[#This Row],[Total_Pendapatan_Kotor]]*Table1[[#This Row],[Persentase_Diskon]]</f>
        <v>0</v>
      </c>
      <c r="O380" s="37">
        <f>Table1[[#This Row],[Total_Pendapatan_Kotor]]-Table1[[#This Row],[Potongan_Diskon]]</f>
        <v>6300000</v>
      </c>
      <c r="P380" s="37">
        <f>(Table1[[#This Row],[Jumlah_Unit]]*Table1[[#This Row],[HPP_Satuan]])+(Table1[[#This Row],[Jumlah_Unit]]*Table1[[#This Row],[Biaya_Kirim_Satuan]])</f>
        <v>3750000</v>
      </c>
      <c r="Q380" s="37">
        <f>Table1[[#This Row],[Total_Pendapatan_Bersih]]-Table1[[#This Row],[Total_Biaya]]</f>
        <v>2550000</v>
      </c>
      <c r="R380" s="5">
        <f>Table1[[#This Row],[Laba_Kotor]]/Table1[[#This Row],[Total_Pendapatan_Bersih]]</f>
        <v>0.40476190476190477</v>
      </c>
    </row>
    <row r="381" spans="1:18" ht="20.25" thickBot="1" x14ac:dyDescent="0.6">
      <c r="A381" s="3" t="s">
        <v>410</v>
      </c>
      <c r="B381" s="21">
        <v>45760</v>
      </c>
      <c r="C381" s="1" t="s">
        <v>31</v>
      </c>
      <c r="D381" s="1" t="s">
        <v>35</v>
      </c>
      <c r="E381" s="2">
        <v>4</v>
      </c>
      <c r="F381" s="1" t="s">
        <v>33</v>
      </c>
      <c r="G381" s="1" t="str">
        <f>INDEX(Table2[Nama Produk],MATCH(Table1[[#This Row],[SKU]],Table2[SKU],0))</f>
        <v>Meja Adjustable</v>
      </c>
      <c r="H381" s="1" t="str">
        <f>VLOOKUP(Table1[[#This Row],[SKU]],Table2[],3,FALSE)</f>
        <v>Furnitur</v>
      </c>
      <c r="I381" s="37">
        <f>INDEX(Table2[Harga Jual],MATCH(Table1[[#This Row],[SKU]],Table2[SKU],0))</f>
        <v>4200000</v>
      </c>
      <c r="J381" s="37">
        <f>VLOOKUP(Table1[[#This Row],[SKU]],Table2[],4,FALSE)</f>
        <v>2400000</v>
      </c>
      <c r="K381" s="37">
        <f>INDEX(Table3[Biaya Kirim per Unit],MATCH(Table1[[#This Row],[Kota]],Table3[Kota],))</f>
        <v>65000</v>
      </c>
      <c r="L381" s="39">
        <f>VLOOKUP(Table1[[#This Row],[Kode_Promo]],Table4[],2,FALSE)</f>
        <v>0.2</v>
      </c>
      <c r="M381" s="37">
        <f>Table1[[#This Row],[Jumlah_Unit]]*Table1[[#This Row],[Harga_Satuan]]</f>
        <v>16800000</v>
      </c>
      <c r="N381" s="37">
        <f>Table1[[#This Row],[Total_Pendapatan_Kotor]]*Table1[[#This Row],[Persentase_Diskon]]</f>
        <v>3360000</v>
      </c>
      <c r="O381" s="37">
        <f>Table1[[#This Row],[Total_Pendapatan_Kotor]]-Table1[[#This Row],[Potongan_Diskon]]</f>
        <v>13440000</v>
      </c>
      <c r="P381" s="37">
        <f>(Table1[[#This Row],[Jumlah_Unit]]*Table1[[#This Row],[HPP_Satuan]])+(Table1[[#This Row],[Jumlah_Unit]]*Table1[[#This Row],[Biaya_Kirim_Satuan]])</f>
        <v>9860000</v>
      </c>
      <c r="Q381" s="37">
        <f>Table1[[#This Row],[Total_Pendapatan_Bersih]]-Table1[[#This Row],[Total_Biaya]]</f>
        <v>3580000</v>
      </c>
      <c r="R381" s="5">
        <f>Table1[[#This Row],[Laba_Kotor]]/Table1[[#This Row],[Total_Pendapatan_Bersih]]</f>
        <v>0.26636904761904762</v>
      </c>
    </row>
    <row r="382" spans="1:18" ht="20.25" thickBot="1" x14ac:dyDescent="0.6">
      <c r="A382" s="3" t="s">
        <v>411</v>
      </c>
      <c r="B382" s="21">
        <v>45767</v>
      </c>
      <c r="C382" s="1" t="s">
        <v>19</v>
      </c>
      <c r="D382" s="1" t="s">
        <v>20</v>
      </c>
      <c r="E382" s="2">
        <v>3</v>
      </c>
      <c r="F382" s="1" t="s">
        <v>21</v>
      </c>
      <c r="G382" s="1" t="str">
        <f>INDEX(Table2[Nama Produk],MATCH(Table1[[#This Row],[SKU]],Table2[SKU],0))</f>
        <v>Laptop Pro 14</v>
      </c>
      <c r="H382" s="1" t="str">
        <f>VLOOKUP(Table1[[#This Row],[SKU]],Table2[],3,FALSE)</f>
        <v>Elektronik</v>
      </c>
      <c r="I382" s="37">
        <f>INDEX(Table2[Harga Jual],MATCH(Table1[[#This Row],[SKU]],Table2[SKU],0))</f>
        <v>12000000</v>
      </c>
      <c r="J382" s="37">
        <f>VLOOKUP(Table1[[#This Row],[SKU]],Table2[],4,FALSE)</f>
        <v>8500000</v>
      </c>
      <c r="K382" s="37">
        <f>INDEX(Table3[Biaya Kirim per Unit],MATCH(Table1[[#This Row],[Kota]],Table3[Kota],))</f>
        <v>25000</v>
      </c>
      <c r="L382" s="39">
        <f>VLOOKUP(Table1[[#This Row],[Kode_Promo]],Table4[],2,FALSE)</f>
        <v>0.1</v>
      </c>
      <c r="M382" s="37">
        <f>Table1[[#This Row],[Jumlah_Unit]]*Table1[[#This Row],[Harga_Satuan]]</f>
        <v>36000000</v>
      </c>
      <c r="N382" s="37">
        <f>Table1[[#This Row],[Total_Pendapatan_Kotor]]*Table1[[#This Row],[Persentase_Diskon]]</f>
        <v>3600000</v>
      </c>
      <c r="O382" s="37">
        <f>Table1[[#This Row],[Total_Pendapatan_Kotor]]-Table1[[#This Row],[Potongan_Diskon]]</f>
        <v>32400000</v>
      </c>
      <c r="P382" s="37">
        <f>(Table1[[#This Row],[Jumlah_Unit]]*Table1[[#This Row],[HPP_Satuan]])+(Table1[[#This Row],[Jumlah_Unit]]*Table1[[#This Row],[Biaya_Kirim_Satuan]])</f>
        <v>25575000</v>
      </c>
      <c r="Q382" s="37">
        <f>Table1[[#This Row],[Total_Pendapatan_Bersih]]-Table1[[#This Row],[Total_Biaya]]</f>
        <v>6825000</v>
      </c>
      <c r="R382" s="5">
        <f>Table1[[#This Row],[Laba_Kotor]]/Table1[[#This Row],[Total_Pendapatan_Bersih]]</f>
        <v>0.21064814814814814</v>
      </c>
    </row>
    <row r="383" spans="1:18" ht="20.25" thickBot="1" x14ac:dyDescent="0.6">
      <c r="A383" s="3" t="s">
        <v>412</v>
      </c>
      <c r="B383" s="21">
        <v>45774</v>
      </c>
      <c r="C383" s="1" t="s">
        <v>23</v>
      </c>
      <c r="D383" s="1" t="s">
        <v>24</v>
      </c>
      <c r="E383" s="2">
        <v>5</v>
      </c>
      <c r="F383" s="1" t="s">
        <v>25</v>
      </c>
      <c r="G383" s="1" t="str">
        <f>INDEX(Table2[Nama Produk],MATCH(Table1[[#This Row],[SKU]],Table2[SKU],0))</f>
        <v>Mechanical Keyboard</v>
      </c>
      <c r="H383" s="1" t="str">
        <f>VLOOKUP(Table1[[#This Row],[SKU]],Table2[],3,FALSE)</f>
        <v>Aksesori</v>
      </c>
      <c r="I383" s="37">
        <f>INDEX(Table2[Harga Jual],MATCH(Table1[[#This Row],[SKU]],Table2[SKU],0))</f>
        <v>850000</v>
      </c>
      <c r="J383" s="37">
        <f>VLOOKUP(Table1[[#This Row],[SKU]],Table2[],4,FALSE)</f>
        <v>450000</v>
      </c>
      <c r="K383" s="37">
        <f>INDEX(Table3[Biaya Kirim per Unit],MATCH(Table1[[#This Row],[Kota]],Table3[Kota],))</f>
        <v>35000</v>
      </c>
      <c r="L383" s="39">
        <f>VLOOKUP(Table1[[#This Row],[Kode_Promo]],Table4[],2,FALSE)</f>
        <v>0.3</v>
      </c>
      <c r="M383" s="37">
        <f>Table1[[#This Row],[Jumlah_Unit]]*Table1[[#This Row],[Harga_Satuan]]</f>
        <v>4250000</v>
      </c>
      <c r="N383" s="37">
        <f>Table1[[#This Row],[Total_Pendapatan_Kotor]]*Table1[[#This Row],[Persentase_Diskon]]</f>
        <v>1275000</v>
      </c>
      <c r="O383" s="37">
        <f>Table1[[#This Row],[Total_Pendapatan_Kotor]]-Table1[[#This Row],[Potongan_Diskon]]</f>
        <v>2975000</v>
      </c>
      <c r="P383" s="37">
        <f>(Table1[[#This Row],[Jumlah_Unit]]*Table1[[#This Row],[HPP_Satuan]])+(Table1[[#This Row],[Jumlah_Unit]]*Table1[[#This Row],[Biaya_Kirim_Satuan]])</f>
        <v>2425000</v>
      </c>
      <c r="Q383" s="37">
        <f>Table1[[#This Row],[Total_Pendapatan_Bersih]]-Table1[[#This Row],[Total_Biaya]]</f>
        <v>550000</v>
      </c>
      <c r="R383" s="5">
        <f>Table1[[#This Row],[Laba_Kotor]]/Table1[[#This Row],[Total_Pendapatan_Bersih]]</f>
        <v>0.18487394957983194</v>
      </c>
    </row>
    <row r="384" spans="1:18" ht="20.25" thickBot="1" x14ac:dyDescent="0.6">
      <c r="A384" s="3" t="s">
        <v>413</v>
      </c>
      <c r="B384" s="21">
        <v>45781</v>
      </c>
      <c r="C384" s="1" t="s">
        <v>27</v>
      </c>
      <c r="D384" s="1" t="s">
        <v>32</v>
      </c>
      <c r="E384" s="2">
        <v>2</v>
      </c>
      <c r="F384" s="1" t="s">
        <v>29</v>
      </c>
      <c r="G384" s="1" t="str">
        <f>INDEX(Table2[Nama Produk],MATCH(Table1[[#This Row],[SKU]],Table2[SKU],0))</f>
        <v>Monitor Ergonomis 27</v>
      </c>
      <c r="H384" s="1" t="str">
        <f>VLOOKUP(Table1[[#This Row],[SKU]],Table2[],3,FALSE)</f>
        <v>Elektronik</v>
      </c>
      <c r="I384" s="37">
        <f>INDEX(Table2[Harga Jual],MATCH(Table1[[#This Row],[SKU]],Table2[SKU],0))</f>
        <v>3400000</v>
      </c>
      <c r="J384" s="37">
        <f>VLOOKUP(Table1[[#This Row],[SKU]],Table2[],4,FALSE)</f>
        <v>2100000</v>
      </c>
      <c r="K384" s="37">
        <f>INDEX(Table3[Biaya Kirim per Unit],MATCH(Table1[[#This Row],[Kota]],Table3[Kota],))</f>
        <v>50000</v>
      </c>
      <c r="L384" s="39">
        <f>VLOOKUP(Table1[[#This Row],[Kode_Promo]],Table4[],2,FALSE)</f>
        <v>0</v>
      </c>
      <c r="M384" s="37">
        <f>Table1[[#This Row],[Jumlah_Unit]]*Table1[[#This Row],[Harga_Satuan]]</f>
        <v>6800000</v>
      </c>
      <c r="N384" s="37">
        <f>Table1[[#This Row],[Total_Pendapatan_Kotor]]*Table1[[#This Row],[Persentase_Diskon]]</f>
        <v>0</v>
      </c>
      <c r="O384" s="37">
        <f>Table1[[#This Row],[Total_Pendapatan_Kotor]]-Table1[[#This Row],[Potongan_Diskon]]</f>
        <v>6800000</v>
      </c>
      <c r="P384" s="37">
        <f>(Table1[[#This Row],[Jumlah_Unit]]*Table1[[#This Row],[HPP_Satuan]])+(Table1[[#This Row],[Jumlah_Unit]]*Table1[[#This Row],[Biaya_Kirim_Satuan]])</f>
        <v>4300000</v>
      </c>
      <c r="Q384" s="37">
        <f>Table1[[#This Row],[Total_Pendapatan_Bersih]]-Table1[[#This Row],[Total_Biaya]]</f>
        <v>2500000</v>
      </c>
      <c r="R384" s="5">
        <f>Table1[[#This Row],[Laba_Kotor]]/Table1[[#This Row],[Total_Pendapatan_Bersih]]</f>
        <v>0.36764705882352944</v>
      </c>
    </row>
    <row r="385" spans="1:18" ht="20.25" thickBot="1" x14ac:dyDescent="0.6">
      <c r="A385" s="3" t="s">
        <v>414</v>
      </c>
      <c r="B385" s="21">
        <v>45788</v>
      </c>
      <c r="C385" s="1" t="s">
        <v>31</v>
      </c>
      <c r="D385" s="1" t="s">
        <v>28</v>
      </c>
      <c r="E385" s="2">
        <v>4</v>
      </c>
      <c r="F385" s="1" t="s">
        <v>33</v>
      </c>
      <c r="G385" s="1" t="str">
        <f>INDEX(Table2[Nama Produk],MATCH(Table1[[#This Row],[SKU]],Table2[SKU],0))</f>
        <v>Kursi Kerja Ergonomis</v>
      </c>
      <c r="H385" s="1" t="str">
        <f>VLOOKUP(Table1[[#This Row],[SKU]],Table2[],3,FALSE)</f>
        <v>Furnitur</v>
      </c>
      <c r="I385" s="37">
        <f>INDEX(Table2[Harga Jual],MATCH(Table1[[#This Row],[SKU]],Table2[SKU],0))</f>
        <v>2100000</v>
      </c>
      <c r="J385" s="37">
        <f>VLOOKUP(Table1[[#This Row],[SKU]],Table2[],4,FALSE)</f>
        <v>1200000</v>
      </c>
      <c r="K385" s="37">
        <f>INDEX(Table3[Biaya Kirim per Unit],MATCH(Table1[[#This Row],[Kota]],Table3[Kota],))</f>
        <v>65000</v>
      </c>
      <c r="L385" s="39">
        <f>VLOOKUP(Table1[[#This Row],[Kode_Promo]],Table4[],2,FALSE)</f>
        <v>0.2</v>
      </c>
      <c r="M385" s="37">
        <f>Table1[[#This Row],[Jumlah_Unit]]*Table1[[#This Row],[Harga_Satuan]]</f>
        <v>8400000</v>
      </c>
      <c r="N385" s="37">
        <f>Table1[[#This Row],[Total_Pendapatan_Kotor]]*Table1[[#This Row],[Persentase_Diskon]]</f>
        <v>1680000</v>
      </c>
      <c r="O385" s="37">
        <f>Table1[[#This Row],[Total_Pendapatan_Kotor]]-Table1[[#This Row],[Potongan_Diskon]]</f>
        <v>6720000</v>
      </c>
      <c r="P385" s="37">
        <f>(Table1[[#This Row],[Jumlah_Unit]]*Table1[[#This Row],[HPP_Satuan]])+(Table1[[#This Row],[Jumlah_Unit]]*Table1[[#This Row],[Biaya_Kirim_Satuan]])</f>
        <v>5060000</v>
      </c>
      <c r="Q385" s="37">
        <f>Table1[[#This Row],[Total_Pendapatan_Bersih]]-Table1[[#This Row],[Total_Biaya]]</f>
        <v>1660000</v>
      </c>
      <c r="R385" s="5">
        <f>Table1[[#This Row],[Laba_Kotor]]/Table1[[#This Row],[Total_Pendapatan_Bersih]]</f>
        <v>0.24702380952380953</v>
      </c>
    </row>
    <row r="386" spans="1:18" ht="20.25" thickBot="1" x14ac:dyDescent="0.6">
      <c r="A386" s="3" t="s">
        <v>415</v>
      </c>
      <c r="B386" s="21">
        <v>45795</v>
      </c>
      <c r="C386" s="1" t="s">
        <v>19</v>
      </c>
      <c r="D386" s="1" t="s">
        <v>35</v>
      </c>
      <c r="E386" s="2">
        <v>1</v>
      </c>
      <c r="F386" s="1" t="s">
        <v>21</v>
      </c>
      <c r="G386" s="1" t="str">
        <f>INDEX(Table2[Nama Produk],MATCH(Table1[[#This Row],[SKU]],Table2[SKU],0))</f>
        <v>Meja Adjustable</v>
      </c>
      <c r="H386" s="1" t="str">
        <f>VLOOKUP(Table1[[#This Row],[SKU]],Table2[],3,FALSE)</f>
        <v>Furnitur</v>
      </c>
      <c r="I386" s="37">
        <f>INDEX(Table2[Harga Jual],MATCH(Table1[[#This Row],[SKU]],Table2[SKU],0))</f>
        <v>4200000</v>
      </c>
      <c r="J386" s="37">
        <f>VLOOKUP(Table1[[#This Row],[SKU]],Table2[],4,FALSE)</f>
        <v>2400000</v>
      </c>
      <c r="K386" s="37">
        <f>INDEX(Table3[Biaya Kirim per Unit],MATCH(Table1[[#This Row],[Kota]],Table3[Kota],))</f>
        <v>25000</v>
      </c>
      <c r="L386" s="39">
        <f>VLOOKUP(Table1[[#This Row],[Kode_Promo]],Table4[],2,FALSE)</f>
        <v>0.1</v>
      </c>
      <c r="M386" s="37">
        <f>Table1[[#This Row],[Jumlah_Unit]]*Table1[[#This Row],[Harga_Satuan]]</f>
        <v>4200000</v>
      </c>
      <c r="N386" s="37">
        <f>Table1[[#This Row],[Total_Pendapatan_Kotor]]*Table1[[#This Row],[Persentase_Diskon]]</f>
        <v>420000</v>
      </c>
      <c r="O386" s="37">
        <f>Table1[[#This Row],[Total_Pendapatan_Kotor]]-Table1[[#This Row],[Potongan_Diskon]]</f>
        <v>3780000</v>
      </c>
      <c r="P386" s="37">
        <f>(Table1[[#This Row],[Jumlah_Unit]]*Table1[[#This Row],[HPP_Satuan]])+(Table1[[#This Row],[Jumlah_Unit]]*Table1[[#This Row],[Biaya_Kirim_Satuan]])</f>
        <v>2425000</v>
      </c>
      <c r="Q386" s="37">
        <f>Table1[[#This Row],[Total_Pendapatan_Bersih]]-Table1[[#This Row],[Total_Biaya]]</f>
        <v>1355000</v>
      </c>
      <c r="R386" s="5">
        <f>Table1[[#This Row],[Laba_Kotor]]/Table1[[#This Row],[Total_Pendapatan_Bersih]]</f>
        <v>0.35846560846560849</v>
      </c>
    </row>
    <row r="387" spans="1:18" ht="20.25" thickBot="1" x14ac:dyDescent="0.6">
      <c r="A387" s="3" t="s">
        <v>416</v>
      </c>
      <c r="B387" s="21">
        <v>45802</v>
      </c>
      <c r="C387" s="1" t="s">
        <v>23</v>
      </c>
      <c r="D387" s="1" t="s">
        <v>20</v>
      </c>
      <c r="E387" s="2">
        <v>2</v>
      </c>
      <c r="F387" s="1" t="s">
        <v>29</v>
      </c>
      <c r="G387" s="1" t="str">
        <f>INDEX(Table2[Nama Produk],MATCH(Table1[[#This Row],[SKU]],Table2[SKU],0))</f>
        <v>Laptop Pro 14</v>
      </c>
      <c r="H387" s="1" t="str">
        <f>VLOOKUP(Table1[[#This Row],[SKU]],Table2[],3,FALSE)</f>
        <v>Elektronik</v>
      </c>
      <c r="I387" s="37">
        <f>INDEX(Table2[Harga Jual],MATCH(Table1[[#This Row],[SKU]],Table2[SKU],0))</f>
        <v>12000000</v>
      </c>
      <c r="J387" s="37">
        <f>VLOOKUP(Table1[[#This Row],[SKU]],Table2[],4,FALSE)</f>
        <v>8500000</v>
      </c>
      <c r="K387" s="37">
        <f>INDEX(Table3[Biaya Kirim per Unit],MATCH(Table1[[#This Row],[Kota]],Table3[Kota],))</f>
        <v>35000</v>
      </c>
      <c r="L387" s="39">
        <f>VLOOKUP(Table1[[#This Row],[Kode_Promo]],Table4[],2,FALSE)</f>
        <v>0</v>
      </c>
      <c r="M387" s="37">
        <f>Table1[[#This Row],[Jumlah_Unit]]*Table1[[#This Row],[Harga_Satuan]]</f>
        <v>24000000</v>
      </c>
      <c r="N387" s="37">
        <f>Table1[[#This Row],[Total_Pendapatan_Kotor]]*Table1[[#This Row],[Persentase_Diskon]]</f>
        <v>0</v>
      </c>
      <c r="O387" s="37">
        <f>Table1[[#This Row],[Total_Pendapatan_Kotor]]-Table1[[#This Row],[Potongan_Diskon]]</f>
        <v>24000000</v>
      </c>
      <c r="P387" s="37">
        <f>(Table1[[#This Row],[Jumlah_Unit]]*Table1[[#This Row],[HPP_Satuan]])+(Table1[[#This Row],[Jumlah_Unit]]*Table1[[#This Row],[Biaya_Kirim_Satuan]])</f>
        <v>17070000</v>
      </c>
      <c r="Q387" s="37">
        <f>Table1[[#This Row],[Total_Pendapatan_Bersih]]-Table1[[#This Row],[Total_Biaya]]</f>
        <v>6930000</v>
      </c>
      <c r="R387" s="5">
        <f>Table1[[#This Row],[Laba_Kotor]]/Table1[[#This Row],[Total_Pendapatan_Bersih]]</f>
        <v>0.28875000000000001</v>
      </c>
    </row>
    <row r="388" spans="1:18" ht="20.25" thickBot="1" x14ac:dyDescent="0.6">
      <c r="A388" s="3" t="s">
        <v>417</v>
      </c>
      <c r="B388" s="21">
        <v>45809</v>
      </c>
      <c r="C388" s="1" t="s">
        <v>27</v>
      </c>
      <c r="D388" s="1" t="s">
        <v>24</v>
      </c>
      <c r="E388" s="2">
        <v>6</v>
      </c>
      <c r="F388" s="1" t="s">
        <v>25</v>
      </c>
      <c r="G388" s="1" t="str">
        <f>INDEX(Table2[Nama Produk],MATCH(Table1[[#This Row],[SKU]],Table2[SKU],0))</f>
        <v>Mechanical Keyboard</v>
      </c>
      <c r="H388" s="1" t="str">
        <f>VLOOKUP(Table1[[#This Row],[SKU]],Table2[],3,FALSE)</f>
        <v>Aksesori</v>
      </c>
      <c r="I388" s="37">
        <f>INDEX(Table2[Harga Jual],MATCH(Table1[[#This Row],[SKU]],Table2[SKU],0))</f>
        <v>850000</v>
      </c>
      <c r="J388" s="37">
        <f>VLOOKUP(Table1[[#This Row],[SKU]],Table2[],4,FALSE)</f>
        <v>450000</v>
      </c>
      <c r="K388" s="37">
        <f>INDEX(Table3[Biaya Kirim per Unit],MATCH(Table1[[#This Row],[Kota]],Table3[Kota],))</f>
        <v>50000</v>
      </c>
      <c r="L388" s="39">
        <f>VLOOKUP(Table1[[#This Row],[Kode_Promo]],Table4[],2,FALSE)</f>
        <v>0.3</v>
      </c>
      <c r="M388" s="37">
        <f>Table1[[#This Row],[Jumlah_Unit]]*Table1[[#This Row],[Harga_Satuan]]</f>
        <v>5100000</v>
      </c>
      <c r="N388" s="37">
        <f>Table1[[#This Row],[Total_Pendapatan_Kotor]]*Table1[[#This Row],[Persentase_Diskon]]</f>
        <v>1530000</v>
      </c>
      <c r="O388" s="37">
        <f>Table1[[#This Row],[Total_Pendapatan_Kotor]]-Table1[[#This Row],[Potongan_Diskon]]</f>
        <v>3570000</v>
      </c>
      <c r="P388" s="37">
        <f>(Table1[[#This Row],[Jumlah_Unit]]*Table1[[#This Row],[HPP_Satuan]])+(Table1[[#This Row],[Jumlah_Unit]]*Table1[[#This Row],[Biaya_Kirim_Satuan]])</f>
        <v>3000000</v>
      </c>
      <c r="Q388" s="37">
        <f>Table1[[#This Row],[Total_Pendapatan_Bersih]]-Table1[[#This Row],[Total_Biaya]]</f>
        <v>570000</v>
      </c>
      <c r="R388" s="5">
        <f>Table1[[#This Row],[Laba_Kotor]]/Table1[[#This Row],[Total_Pendapatan_Bersih]]</f>
        <v>0.15966386554621848</v>
      </c>
    </row>
    <row r="389" spans="1:18" ht="20.25" thickBot="1" x14ac:dyDescent="0.6">
      <c r="A389" s="3" t="s">
        <v>418</v>
      </c>
      <c r="B389" s="21">
        <v>45816</v>
      </c>
      <c r="C389" s="1" t="s">
        <v>31</v>
      </c>
      <c r="D389" s="1" t="s">
        <v>32</v>
      </c>
      <c r="E389" s="2">
        <v>3</v>
      </c>
      <c r="F389" s="1" t="s">
        <v>33</v>
      </c>
      <c r="G389" s="1" t="str">
        <f>INDEX(Table2[Nama Produk],MATCH(Table1[[#This Row],[SKU]],Table2[SKU],0))</f>
        <v>Monitor Ergonomis 27</v>
      </c>
      <c r="H389" s="1" t="str">
        <f>VLOOKUP(Table1[[#This Row],[SKU]],Table2[],3,FALSE)</f>
        <v>Elektronik</v>
      </c>
      <c r="I389" s="37">
        <f>INDEX(Table2[Harga Jual],MATCH(Table1[[#This Row],[SKU]],Table2[SKU],0))</f>
        <v>3400000</v>
      </c>
      <c r="J389" s="37">
        <f>VLOOKUP(Table1[[#This Row],[SKU]],Table2[],4,FALSE)</f>
        <v>2100000</v>
      </c>
      <c r="K389" s="37">
        <f>INDEX(Table3[Biaya Kirim per Unit],MATCH(Table1[[#This Row],[Kota]],Table3[Kota],))</f>
        <v>65000</v>
      </c>
      <c r="L389" s="39">
        <f>VLOOKUP(Table1[[#This Row],[Kode_Promo]],Table4[],2,FALSE)</f>
        <v>0.2</v>
      </c>
      <c r="M389" s="37">
        <f>Table1[[#This Row],[Jumlah_Unit]]*Table1[[#This Row],[Harga_Satuan]]</f>
        <v>10200000</v>
      </c>
      <c r="N389" s="37">
        <f>Table1[[#This Row],[Total_Pendapatan_Kotor]]*Table1[[#This Row],[Persentase_Diskon]]</f>
        <v>2040000</v>
      </c>
      <c r="O389" s="37">
        <f>Table1[[#This Row],[Total_Pendapatan_Kotor]]-Table1[[#This Row],[Potongan_Diskon]]</f>
        <v>8160000</v>
      </c>
      <c r="P389" s="37">
        <f>(Table1[[#This Row],[Jumlah_Unit]]*Table1[[#This Row],[HPP_Satuan]])+(Table1[[#This Row],[Jumlah_Unit]]*Table1[[#This Row],[Biaya_Kirim_Satuan]])</f>
        <v>6495000</v>
      </c>
      <c r="Q389" s="37">
        <f>Table1[[#This Row],[Total_Pendapatan_Bersih]]-Table1[[#This Row],[Total_Biaya]]</f>
        <v>1665000</v>
      </c>
      <c r="R389" s="5">
        <f>Table1[[#This Row],[Laba_Kotor]]/Table1[[#This Row],[Total_Pendapatan_Bersih]]</f>
        <v>0.20404411764705882</v>
      </c>
    </row>
    <row r="390" spans="1:18" ht="20.25" thickBot="1" x14ac:dyDescent="0.6">
      <c r="A390" s="3" t="s">
        <v>419</v>
      </c>
      <c r="B390" s="21">
        <v>45823</v>
      </c>
      <c r="C390" s="1" t="s">
        <v>19</v>
      </c>
      <c r="D390" s="1" t="s">
        <v>28</v>
      </c>
      <c r="E390" s="2">
        <v>5</v>
      </c>
      <c r="F390" s="1" t="s">
        <v>21</v>
      </c>
      <c r="G390" s="1" t="str">
        <f>INDEX(Table2[Nama Produk],MATCH(Table1[[#This Row],[SKU]],Table2[SKU],0))</f>
        <v>Kursi Kerja Ergonomis</v>
      </c>
      <c r="H390" s="1" t="str">
        <f>VLOOKUP(Table1[[#This Row],[SKU]],Table2[],3,FALSE)</f>
        <v>Furnitur</v>
      </c>
      <c r="I390" s="37">
        <f>INDEX(Table2[Harga Jual],MATCH(Table1[[#This Row],[SKU]],Table2[SKU],0))</f>
        <v>2100000</v>
      </c>
      <c r="J390" s="37">
        <f>VLOOKUP(Table1[[#This Row],[SKU]],Table2[],4,FALSE)</f>
        <v>1200000</v>
      </c>
      <c r="K390" s="37">
        <f>INDEX(Table3[Biaya Kirim per Unit],MATCH(Table1[[#This Row],[Kota]],Table3[Kota],))</f>
        <v>25000</v>
      </c>
      <c r="L390" s="39">
        <f>VLOOKUP(Table1[[#This Row],[Kode_Promo]],Table4[],2,FALSE)</f>
        <v>0.1</v>
      </c>
      <c r="M390" s="37">
        <f>Table1[[#This Row],[Jumlah_Unit]]*Table1[[#This Row],[Harga_Satuan]]</f>
        <v>10500000</v>
      </c>
      <c r="N390" s="37">
        <f>Table1[[#This Row],[Total_Pendapatan_Kotor]]*Table1[[#This Row],[Persentase_Diskon]]</f>
        <v>1050000</v>
      </c>
      <c r="O390" s="37">
        <f>Table1[[#This Row],[Total_Pendapatan_Kotor]]-Table1[[#This Row],[Potongan_Diskon]]</f>
        <v>9450000</v>
      </c>
      <c r="P390" s="37">
        <f>(Table1[[#This Row],[Jumlah_Unit]]*Table1[[#This Row],[HPP_Satuan]])+(Table1[[#This Row],[Jumlah_Unit]]*Table1[[#This Row],[Biaya_Kirim_Satuan]])</f>
        <v>6125000</v>
      </c>
      <c r="Q390" s="37">
        <f>Table1[[#This Row],[Total_Pendapatan_Bersih]]-Table1[[#This Row],[Total_Biaya]]</f>
        <v>3325000</v>
      </c>
      <c r="R390" s="5">
        <f>Table1[[#This Row],[Laba_Kotor]]/Table1[[#This Row],[Total_Pendapatan_Bersih]]</f>
        <v>0.35185185185185186</v>
      </c>
    </row>
    <row r="391" spans="1:18" ht="20.25" thickBot="1" x14ac:dyDescent="0.6">
      <c r="A391" s="3" t="s">
        <v>420</v>
      </c>
      <c r="B391" s="21">
        <v>45830</v>
      </c>
      <c r="C391" s="1" t="s">
        <v>23</v>
      </c>
      <c r="D391" s="1" t="s">
        <v>35</v>
      </c>
      <c r="E391" s="2">
        <v>2</v>
      </c>
      <c r="F391" s="1" t="s">
        <v>25</v>
      </c>
      <c r="G391" s="1" t="str">
        <f>INDEX(Table2[Nama Produk],MATCH(Table1[[#This Row],[SKU]],Table2[SKU],0))</f>
        <v>Meja Adjustable</v>
      </c>
      <c r="H391" s="1" t="str">
        <f>VLOOKUP(Table1[[#This Row],[SKU]],Table2[],3,FALSE)</f>
        <v>Furnitur</v>
      </c>
      <c r="I391" s="37">
        <f>INDEX(Table2[Harga Jual],MATCH(Table1[[#This Row],[SKU]],Table2[SKU],0))</f>
        <v>4200000</v>
      </c>
      <c r="J391" s="37">
        <f>VLOOKUP(Table1[[#This Row],[SKU]],Table2[],4,FALSE)</f>
        <v>2400000</v>
      </c>
      <c r="K391" s="37">
        <f>INDEX(Table3[Biaya Kirim per Unit],MATCH(Table1[[#This Row],[Kota]],Table3[Kota],))</f>
        <v>35000</v>
      </c>
      <c r="L391" s="39">
        <f>VLOOKUP(Table1[[#This Row],[Kode_Promo]],Table4[],2,FALSE)</f>
        <v>0.3</v>
      </c>
      <c r="M391" s="37">
        <f>Table1[[#This Row],[Jumlah_Unit]]*Table1[[#This Row],[Harga_Satuan]]</f>
        <v>8400000</v>
      </c>
      <c r="N391" s="37">
        <f>Table1[[#This Row],[Total_Pendapatan_Kotor]]*Table1[[#This Row],[Persentase_Diskon]]</f>
        <v>2520000</v>
      </c>
      <c r="O391" s="37">
        <f>Table1[[#This Row],[Total_Pendapatan_Kotor]]-Table1[[#This Row],[Potongan_Diskon]]</f>
        <v>5880000</v>
      </c>
      <c r="P391" s="37">
        <f>(Table1[[#This Row],[Jumlah_Unit]]*Table1[[#This Row],[HPP_Satuan]])+(Table1[[#This Row],[Jumlah_Unit]]*Table1[[#This Row],[Biaya_Kirim_Satuan]])</f>
        <v>4870000</v>
      </c>
      <c r="Q391" s="37">
        <f>Table1[[#This Row],[Total_Pendapatan_Bersih]]-Table1[[#This Row],[Total_Biaya]]</f>
        <v>1010000</v>
      </c>
      <c r="R391" s="5">
        <f>Table1[[#This Row],[Laba_Kotor]]/Table1[[#This Row],[Total_Pendapatan_Bersih]]</f>
        <v>0.17176870748299319</v>
      </c>
    </row>
    <row r="392" spans="1:18" ht="20.25" thickBot="1" x14ac:dyDescent="0.6">
      <c r="A392" s="3" t="s">
        <v>421</v>
      </c>
      <c r="B392" s="21">
        <v>45837</v>
      </c>
      <c r="C392" s="1" t="s">
        <v>27</v>
      </c>
      <c r="D392" s="1" t="s">
        <v>20</v>
      </c>
      <c r="E392" s="2">
        <v>1</v>
      </c>
      <c r="F392" s="1" t="s">
        <v>29</v>
      </c>
      <c r="G392" s="1" t="str">
        <f>INDEX(Table2[Nama Produk],MATCH(Table1[[#This Row],[SKU]],Table2[SKU],0))</f>
        <v>Laptop Pro 14</v>
      </c>
      <c r="H392" s="1" t="str">
        <f>VLOOKUP(Table1[[#This Row],[SKU]],Table2[],3,FALSE)</f>
        <v>Elektronik</v>
      </c>
      <c r="I392" s="37">
        <f>INDEX(Table2[Harga Jual],MATCH(Table1[[#This Row],[SKU]],Table2[SKU],0))</f>
        <v>12000000</v>
      </c>
      <c r="J392" s="37">
        <f>VLOOKUP(Table1[[#This Row],[SKU]],Table2[],4,FALSE)</f>
        <v>8500000</v>
      </c>
      <c r="K392" s="37">
        <f>INDEX(Table3[Biaya Kirim per Unit],MATCH(Table1[[#This Row],[Kota]],Table3[Kota],))</f>
        <v>50000</v>
      </c>
      <c r="L392" s="39">
        <f>VLOOKUP(Table1[[#This Row],[Kode_Promo]],Table4[],2,FALSE)</f>
        <v>0</v>
      </c>
      <c r="M392" s="37">
        <f>Table1[[#This Row],[Jumlah_Unit]]*Table1[[#This Row],[Harga_Satuan]]</f>
        <v>12000000</v>
      </c>
      <c r="N392" s="37">
        <f>Table1[[#This Row],[Total_Pendapatan_Kotor]]*Table1[[#This Row],[Persentase_Diskon]]</f>
        <v>0</v>
      </c>
      <c r="O392" s="37">
        <f>Table1[[#This Row],[Total_Pendapatan_Kotor]]-Table1[[#This Row],[Potongan_Diskon]]</f>
        <v>12000000</v>
      </c>
      <c r="P392" s="37">
        <f>(Table1[[#This Row],[Jumlah_Unit]]*Table1[[#This Row],[HPP_Satuan]])+(Table1[[#This Row],[Jumlah_Unit]]*Table1[[#This Row],[Biaya_Kirim_Satuan]])</f>
        <v>8550000</v>
      </c>
      <c r="Q392" s="37">
        <f>Table1[[#This Row],[Total_Pendapatan_Bersih]]-Table1[[#This Row],[Total_Biaya]]</f>
        <v>3450000</v>
      </c>
      <c r="R392" s="5">
        <f>Table1[[#This Row],[Laba_Kotor]]/Table1[[#This Row],[Total_Pendapatan_Bersih]]</f>
        <v>0.28749999999999998</v>
      </c>
    </row>
    <row r="393" spans="1:18" ht="20.25" thickBot="1" x14ac:dyDescent="0.6">
      <c r="A393" s="3" t="s">
        <v>422</v>
      </c>
      <c r="B393" s="21">
        <v>45844</v>
      </c>
      <c r="C393" s="1" t="s">
        <v>31</v>
      </c>
      <c r="D393" s="1" t="s">
        <v>24</v>
      </c>
      <c r="E393" s="2">
        <v>7</v>
      </c>
      <c r="F393" s="1" t="s">
        <v>33</v>
      </c>
      <c r="G393" s="1" t="str">
        <f>INDEX(Table2[Nama Produk],MATCH(Table1[[#This Row],[SKU]],Table2[SKU],0))</f>
        <v>Mechanical Keyboard</v>
      </c>
      <c r="H393" s="1" t="str">
        <f>VLOOKUP(Table1[[#This Row],[SKU]],Table2[],3,FALSE)</f>
        <v>Aksesori</v>
      </c>
      <c r="I393" s="37">
        <f>INDEX(Table2[Harga Jual],MATCH(Table1[[#This Row],[SKU]],Table2[SKU],0))</f>
        <v>850000</v>
      </c>
      <c r="J393" s="37">
        <f>VLOOKUP(Table1[[#This Row],[SKU]],Table2[],4,FALSE)</f>
        <v>450000</v>
      </c>
      <c r="K393" s="37">
        <f>INDEX(Table3[Biaya Kirim per Unit],MATCH(Table1[[#This Row],[Kota]],Table3[Kota],))</f>
        <v>65000</v>
      </c>
      <c r="L393" s="39">
        <f>VLOOKUP(Table1[[#This Row],[Kode_Promo]],Table4[],2,FALSE)</f>
        <v>0.2</v>
      </c>
      <c r="M393" s="37">
        <f>Table1[[#This Row],[Jumlah_Unit]]*Table1[[#This Row],[Harga_Satuan]]</f>
        <v>5950000</v>
      </c>
      <c r="N393" s="37">
        <f>Table1[[#This Row],[Total_Pendapatan_Kotor]]*Table1[[#This Row],[Persentase_Diskon]]</f>
        <v>1190000</v>
      </c>
      <c r="O393" s="37">
        <f>Table1[[#This Row],[Total_Pendapatan_Kotor]]-Table1[[#This Row],[Potongan_Diskon]]</f>
        <v>4760000</v>
      </c>
      <c r="P393" s="37">
        <f>(Table1[[#This Row],[Jumlah_Unit]]*Table1[[#This Row],[HPP_Satuan]])+(Table1[[#This Row],[Jumlah_Unit]]*Table1[[#This Row],[Biaya_Kirim_Satuan]])</f>
        <v>3605000</v>
      </c>
      <c r="Q393" s="37">
        <f>Table1[[#This Row],[Total_Pendapatan_Bersih]]-Table1[[#This Row],[Total_Biaya]]</f>
        <v>1155000</v>
      </c>
      <c r="R393" s="5">
        <f>Table1[[#This Row],[Laba_Kotor]]/Table1[[#This Row],[Total_Pendapatan_Bersih]]</f>
        <v>0.24264705882352941</v>
      </c>
    </row>
    <row r="394" spans="1:18" ht="20.25" thickBot="1" x14ac:dyDescent="0.6">
      <c r="A394" s="3" t="s">
        <v>423</v>
      </c>
      <c r="B394" s="21">
        <v>45851</v>
      </c>
      <c r="C394" s="1" t="s">
        <v>19</v>
      </c>
      <c r="D394" s="1" t="s">
        <v>32</v>
      </c>
      <c r="E394" s="2">
        <v>4</v>
      </c>
      <c r="F394" s="1" t="s">
        <v>21</v>
      </c>
      <c r="G394" s="1" t="str">
        <f>INDEX(Table2[Nama Produk],MATCH(Table1[[#This Row],[SKU]],Table2[SKU],0))</f>
        <v>Monitor Ergonomis 27</v>
      </c>
      <c r="H394" s="1" t="str">
        <f>VLOOKUP(Table1[[#This Row],[SKU]],Table2[],3,FALSE)</f>
        <v>Elektronik</v>
      </c>
      <c r="I394" s="37">
        <f>INDEX(Table2[Harga Jual],MATCH(Table1[[#This Row],[SKU]],Table2[SKU],0))</f>
        <v>3400000</v>
      </c>
      <c r="J394" s="37">
        <f>VLOOKUP(Table1[[#This Row],[SKU]],Table2[],4,FALSE)</f>
        <v>2100000</v>
      </c>
      <c r="K394" s="37">
        <f>INDEX(Table3[Biaya Kirim per Unit],MATCH(Table1[[#This Row],[Kota]],Table3[Kota],))</f>
        <v>25000</v>
      </c>
      <c r="L394" s="39">
        <f>VLOOKUP(Table1[[#This Row],[Kode_Promo]],Table4[],2,FALSE)</f>
        <v>0.1</v>
      </c>
      <c r="M394" s="37">
        <f>Table1[[#This Row],[Jumlah_Unit]]*Table1[[#This Row],[Harga_Satuan]]</f>
        <v>13600000</v>
      </c>
      <c r="N394" s="37">
        <f>Table1[[#This Row],[Total_Pendapatan_Kotor]]*Table1[[#This Row],[Persentase_Diskon]]</f>
        <v>1360000</v>
      </c>
      <c r="O394" s="37">
        <f>Table1[[#This Row],[Total_Pendapatan_Kotor]]-Table1[[#This Row],[Potongan_Diskon]]</f>
        <v>12240000</v>
      </c>
      <c r="P394" s="37">
        <f>(Table1[[#This Row],[Jumlah_Unit]]*Table1[[#This Row],[HPP_Satuan]])+(Table1[[#This Row],[Jumlah_Unit]]*Table1[[#This Row],[Biaya_Kirim_Satuan]])</f>
        <v>8500000</v>
      </c>
      <c r="Q394" s="37">
        <f>Table1[[#This Row],[Total_Pendapatan_Bersih]]-Table1[[#This Row],[Total_Biaya]]</f>
        <v>3740000</v>
      </c>
      <c r="R394" s="5">
        <f>Table1[[#This Row],[Laba_Kotor]]/Table1[[#This Row],[Total_Pendapatan_Bersih]]</f>
        <v>0.30555555555555558</v>
      </c>
    </row>
    <row r="395" spans="1:18" ht="20.25" thickBot="1" x14ac:dyDescent="0.6">
      <c r="A395" s="3" t="s">
        <v>424</v>
      </c>
      <c r="B395" s="21">
        <v>45858</v>
      </c>
      <c r="C395" s="1" t="s">
        <v>23</v>
      </c>
      <c r="D395" s="1" t="s">
        <v>28</v>
      </c>
      <c r="E395" s="2">
        <v>3</v>
      </c>
      <c r="F395" s="1" t="s">
        <v>25</v>
      </c>
      <c r="G395" s="1" t="str">
        <f>INDEX(Table2[Nama Produk],MATCH(Table1[[#This Row],[SKU]],Table2[SKU],0))</f>
        <v>Kursi Kerja Ergonomis</v>
      </c>
      <c r="H395" s="1" t="str">
        <f>VLOOKUP(Table1[[#This Row],[SKU]],Table2[],3,FALSE)</f>
        <v>Furnitur</v>
      </c>
      <c r="I395" s="37">
        <f>INDEX(Table2[Harga Jual],MATCH(Table1[[#This Row],[SKU]],Table2[SKU],0))</f>
        <v>2100000</v>
      </c>
      <c r="J395" s="37">
        <f>VLOOKUP(Table1[[#This Row],[SKU]],Table2[],4,FALSE)</f>
        <v>1200000</v>
      </c>
      <c r="K395" s="37">
        <f>INDEX(Table3[Biaya Kirim per Unit],MATCH(Table1[[#This Row],[Kota]],Table3[Kota],))</f>
        <v>35000</v>
      </c>
      <c r="L395" s="39">
        <f>VLOOKUP(Table1[[#This Row],[Kode_Promo]],Table4[],2,FALSE)</f>
        <v>0.3</v>
      </c>
      <c r="M395" s="37">
        <f>Table1[[#This Row],[Jumlah_Unit]]*Table1[[#This Row],[Harga_Satuan]]</f>
        <v>6300000</v>
      </c>
      <c r="N395" s="37">
        <f>Table1[[#This Row],[Total_Pendapatan_Kotor]]*Table1[[#This Row],[Persentase_Diskon]]</f>
        <v>1890000</v>
      </c>
      <c r="O395" s="37">
        <f>Table1[[#This Row],[Total_Pendapatan_Kotor]]-Table1[[#This Row],[Potongan_Diskon]]</f>
        <v>4410000</v>
      </c>
      <c r="P395" s="37">
        <f>(Table1[[#This Row],[Jumlah_Unit]]*Table1[[#This Row],[HPP_Satuan]])+(Table1[[#This Row],[Jumlah_Unit]]*Table1[[#This Row],[Biaya_Kirim_Satuan]])</f>
        <v>3705000</v>
      </c>
      <c r="Q395" s="37">
        <f>Table1[[#This Row],[Total_Pendapatan_Bersih]]-Table1[[#This Row],[Total_Biaya]]</f>
        <v>705000</v>
      </c>
      <c r="R395" s="5">
        <f>Table1[[#This Row],[Laba_Kotor]]/Table1[[#This Row],[Total_Pendapatan_Bersih]]</f>
        <v>0.1598639455782313</v>
      </c>
    </row>
    <row r="396" spans="1:18" ht="20.25" thickBot="1" x14ac:dyDescent="0.6">
      <c r="A396" s="3" t="s">
        <v>425</v>
      </c>
      <c r="B396" s="21">
        <v>45865</v>
      </c>
      <c r="C396" s="1" t="s">
        <v>27</v>
      </c>
      <c r="D396" s="1" t="s">
        <v>35</v>
      </c>
      <c r="E396" s="2">
        <v>2</v>
      </c>
      <c r="F396" s="1" t="s">
        <v>29</v>
      </c>
      <c r="G396" s="1" t="str">
        <f>INDEX(Table2[Nama Produk],MATCH(Table1[[#This Row],[SKU]],Table2[SKU],0))</f>
        <v>Meja Adjustable</v>
      </c>
      <c r="H396" s="1" t="str">
        <f>VLOOKUP(Table1[[#This Row],[SKU]],Table2[],3,FALSE)</f>
        <v>Furnitur</v>
      </c>
      <c r="I396" s="37">
        <f>INDEX(Table2[Harga Jual],MATCH(Table1[[#This Row],[SKU]],Table2[SKU],0))</f>
        <v>4200000</v>
      </c>
      <c r="J396" s="37">
        <f>VLOOKUP(Table1[[#This Row],[SKU]],Table2[],4,FALSE)</f>
        <v>2400000</v>
      </c>
      <c r="K396" s="37">
        <f>INDEX(Table3[Biaya Kirim per Unit],MATCH(Table1[[#This Row],[Kota]],Table3[Kota],))</f>
        <v>50000</v>
      </c>
      <c r="L396" s="39">
        <f>VLOOKUP(Table1[[#This Row],[Kode_Promo]],Table4[],2,FALSE)</f>
        <v>0</v>
      </c>
      <c r="M396" s="37">
        <f>Table1[[#This Row],[Jumlah_Unit]]*Table1[[#This Row],[Harga_Satuan]]</f>
        <v>8400000</v>
      </c>
      <c r="N396" s="37">
        <f>Table1[[#This Row],[Total_Pendapatan_Kotor]]*Table1[[#This Row],[Persentase_Diskon]]</f>
        <v>0</v>
      </c>
      <c r="O396" s="37">
        <f>Table1[[#This Row],[Total_Pendapatan_Kotor]]-Table1[[#This Row],[Potongan_Diskon]]</f>
        <v>8400000</v>
      </c>
      <c r="P396" s="37">
        <f>(Table1[[#This Row],[Jumlah_Unit]]*Table1[[#This Row],[HPP_Satuan]])+(Table1[[#This Row],[Jumlah_Unit]]*Table1[[#This Row],[Biaya_Kirim_Satuan]])</f>
        <v>4900000</v>
      </c>
      <c r="Q396" s="37">
        <f>Table1[[#This Row],[Total_Pendapatan_Bersih]]-Table1[[#This Row],[Total_Biaya]]</f>
        <v>3500000</v>
      </c>
      <c r="R396" s="5">
        <f>Table1[[#This Row],[Laba_Kotor]]/Table1[[#This Row],[Total_Pendapatan_Bersih]]</f>
        <v>0.41666666666666669</v>
      </c>
    </row>
    <row r="397" spans="1:18" ht="20.25" thickBot="1" x14ac:dyDescent="0.6">
      <c r="A397" s="3" t="s">
        <v>426</v>
      </c>
      <c r="B397" s="21">
        <v>45872</v>
      </c>
      <c r="C397" s="1" t="s">
        <v>31</v>
      </c>
      <c r="D397" s="1" t="s">
        <v>20</v>
      </c>
      <c r="E397" s="2">
        <v>3</v>
      </c>
      <c r="F397" s="1" t="s">
        <v>33</v>
      </c>
      <c r="G397" s="1" t="str">
        <f>INDEX(Table2[Nama Produk],MATCH(Table1[[#This Row],[SKU]],Table2[SKU],0))</f>
        <v>Laptop Pro 14</v>
      </c>
      <c r="H397" s="1" t="str">
        <f>VLOOKUP(Table1[[#This Row],[SKU]],Table2[],3,FALSE)</f>
        <v>Elektronik</v>
      </c>
      <c r="I397" s="37">
        <f>INDEX(Table2[Harga Jual],MATCH(Table1[[#This Row],[SKU]],Table2[SKU],0))</f>
        <v>12000000</v>
      </c>
      <c r="J397" s="37">
        <f>VLOOKUP(Table1[[#This Row],[SKU]],Table2[],4,FALSE)</f>
        <v>8500000</v>
      </c>
      <c r="K397" s="37">
        <f>INDEX(Table3[Biaya Kirim per Unit],MATCH(Table1[[#This Row],[Kota]],Table3[Kota],))</f>
        <v>65000</v>
      </c>
      <c r="L397" s="39">
        <f>VLOOKUP(Table1[[#This Row],[Kode_Promo]],Table4[],2,FALSE)</f>
        <v>0.2</v>
      </c>
      <c r="M397" s="37">
        <f>Table1[[#This Row],[Jumlah_Unit]]*Table1[[#This Row],[Harga_Satuan]]</f>
        <v>36000000</v>
      </c>
      <c r="N397" s="37">
        <f>Table1[[#This Row],[Total_Pendapatan_Kotor]]*Table1[[#This Row],[Persentase_Diskon]]</f>
        <v>7200000</v>
      </c>
      <c r="O397" s="37">
        <f>Table1[[#This Row],[Total_Pendapatan_Kotor]]-Table1[[#This Row],[Potongan_Diskon]]</f>
        <v>28800000</v>
      </c>
      <c r="P397" s="37">
        <f>(Table1[[#This Row],[Jumlah_Unit]]*Table1[[#This Row],[HPP_Satuan]])+(Table1[[#This Row],[Jumlah_Unit]]*Table1[[#This Row],[Biaya_Kirim_Satuan]])</f>
        <v>25695000</v>
      </c>
      <c r="Q397" s="37">
        <f>Table1[[#This Row],[Total_Pendapatan_Bersih]]-Table1[[#This Row],[Total_Biaya]]</f>
        <v>3105000</v>
      </c>
      <c r="R397" s="5">
        <f>Table1[[#This Row],[Laba_Kotor]]/Table1[[#This Row],[Total_Pendapatan_Bersih]]</f>
        <v>0.10781250000000001</v>
      </c>
    </row>
    <row r="398" spans="1:18" ht="20.25" thickBot="1" x14ac:dyDescent="0.6">
      <c r="A398" s="3" t="s">
        <v>427</v>
      </c>
      <c r="B398" s="21">
        <v>45879</v>
      </c>
      <c r="C398" s="1" t="s">
        <v>19</v>
      </c>
      <c r="D398" s="1" t="s">
        <v>24</v>
      </c>
      <c r="E398" s="2">
        <v>6</v>
      </c>
      <c r="F398" s="1" t="s">
        <v>21</v>
      </c>
      <c r="G398" s="1" t="str">
        <f>INDEX(Table2[Nama Produk],MATCH(Table1[[#This Row],[SKU]],Table2[SKU],0))</f>
        <v>Mechanical Keyboard</v>
      </c>
      <c r="H398" s="1" t="str">
        <f>VLOOKUP(Table1[[#This Row],[SKU]],Table2[],3,FALSE)</f>
        <v>Aksesori</v>
      </c>
      <c r="I398" s="37">
        <f>INDEX(Table2[Harga Jual],MATCH(Table1[[#This Row],[SKU]],Table2[SKU],0))</f>
        <v>850000</v>
      </c>
      <c r="J398" s="37">
        <f>VLOOKUP(Table1[[#This Row],[SKU]],Table2[],4,FALSE)</f>
        <v>450000</v>
      </c>
      <c r="K398" s="37">
        <f>INDEX(Table3[Biaya Kirim per Unit],MATCH(Table1[[#This Row],[Kota]],Table3[Kota],))</f>
        <v>25000</v>
      </c>
      <c r="L398" s="39">
        <f>VLOOKUP(Table1[[#This Row],[Kode_Promo]],Table4[],2,FALSE)</f>
        <v>0.1</v>
      </c>
      <c r="M398" s="37">
        <f>Table1[[#This Row],[Jumlah_Unit]]*Table1[[#This Row],[Harga_Satuan]]</f>
        <v>5100000</v>
      </c>
      <c r="N398" s="37">
        <f>Table1[[#This Row],[Total_Pendapatan_Kotor]]*Table1[[#This Row],[Persentase_Diskon]]</f>
        <v>510000</v>
      </c>
      <c r="O398" s="37">
        <f>Table1[[#This Row],[Total_Pendapatan_Kotor]]-Table1[[#This Row],[Potongan_Diskon]]</f>
        <v>4590000</v>
      </c>
      <c r="P398" s="37">
        <f>(Table1[[#This Row],[Jumlah_Unit]]*Table1[[#This Row],[HPP_Satuan]])+(Table1[[#This Row],[Jumlah_Unit]]*Table1[[#This Row],[Biaya_Kirim_Satuan]])</f>
        <v>2850000</v>
      </c>
      <c r="Q398" s="37">
        <f>Table1[[#This Row],[Total_Pendapatan_Bersih]]-Table1[[#This Row],[Total_Biaya]]</f>
        <v>1740000</v>
      </c>
      <c r="R398" s="5">
        <f>Table1[[#This Row],[Laba_Kotor]]/Table1[[#This Row],[Total_Pendapatan_Bersih]]</f>
        <v>0.37908496732026142</v>
      </c>
    </row>
    <row r="399" spans="1:18" ht="20.25" thickBot="1" x14ac:dyDescent="0.6">
      <c r="A399" s="3" t="s">
        <v>428</v>
      </c>
      <c r="B399" s="21">
        <v>45886</v>
      </c>
      <c r="C399" s="1" t="s">
        <v>23</v>
      </c>
      <c r="D399" s="1" t="s">
        <v>32</v>
      </c>
      <c r="E399" s="2">
        <v>2</v>
      </c>
      <c r="F399" s="1" t="s">
        <v>25</v>
      </c>
      <c r="G399" s="1" t="str">
        <f>INDEX(Table2[Nama Produk],MATCH(Table1[[#This Row],[SKU]],Table2[SKU],0))</f>
        <v>Monitor Ergonomis 27</v>
      </c>
      <c r="H399" s="1" t="str">
        <f>VLOOKUP(Table1[[#This Row],[SKU]],Table2[],3,FALSE)</f>
        <v>Elektronik</v>
      </c>
      <c r="I399" s="37">
        <f>INDEX(Table2[Harga Jual],MATCH(Table1[[#This Row],[SKU]],Table2[SKU],0))</f>
        <v>3400000</v>
      </c>
      <c r="J399" s="37">
        <f>VLOOKUP(Table1[[#This Row],[SKU]],Table2[],4,FALSE)</f>
        <v>2100000</v>
      </c>
      <c r="K399" s="37">
        <f>INDEX(Table3[Biaya Kirim per Unit],MATCH(Table1[[#This Row],[Kota]],Table3[Kota],))</f>
        <v>35000</v>
      </c>
      <c r="L399" s="39">
        <f>VLOOKUP(Table1[[#This Row],[Kode_Promo]],Table4[],2,FALSE)</f>
        <v>0.3</v>
      </c>
      <c r="M399" s="37">
        <f>Table1[[#This Row],[Jumlah_Unit]]*Table1[[#This Row],[Harga_Satuan]]</f>
        <v>6800000</v>
      </c>
      <c r="N399" s="37">
        <f>Table1[[#This Row],[Total_Pendapatan_Kotor]]*Table1[[#This Row],[Persentase_Diskon]]</f>
        <v>2040000</v>
      </c>
      <c r="O399" s="37">
        <f>Table1[[#This Row],[Total_Pendapatan_Kotor]]-Table1[[#This Row],[Potongan_Diskon]]</f>
        <v>4760000</v>
      </c>
      <c r="P399" s="37">
        <f>(Table1[[#This Row],[Jumlah_Unit]]*Table1[[#This Row],[HPP_Satuan]])+(Table1[[#This Row],[Jumlah_Unit]]*Table1[[#This Row],[Biaya_Kirim_Satuan]])</f>
        <v>4270000</v>
      </c>
      <c r="Q399" s="37">
        <f>Table1[[#This Row],[Total_Pendapatan_Bersih]]-Table1[[#This Row],[Total_Biaya]]</f>
        <v>490000</v>
      </c>
      <c r="R399" s="5">
        <f>Table1[[#This Row],[Laba_Kotor]]/Table1[[#This Row],[Total_Pendapatan_Bersih]]</f>
        <v>0.10294117647058823</v>
      </c>
    </row>
    <row r="400" spans="1:18" ht="20.25" thickBot="1" x14ac:dyDescent="0.6">
      <c r="A400" s="3" t="s">
        <v>429</v>
      </c>
      <c r="B400" s="21">
        <v>45893</v>
      </c>
      <c r="C400" s="1" t="s">
        <v>27</v>
      </c>
      <c r="D400" s="1" t="s">
        <v>28</v>
      </c>
      <c r="E400" s="2">
        <v>4</v>
      </c>
      <c r="F400" s="1" t="s">
        <v>29</v>
      </c>
      <c r="G400" s="1" t="str">
        <f>INDEX(Table2[Nama Produk],MATCH(Table1[[#This Row],[SKU]],Table2[SKU],0))</f>
        <v>Kursi Kerja Ergonomis</v>
      </c>
      <c r="H400" s="1" t="str">
        <f>VLOOKUP(Table1[[#This Row],[SKU]],Table2[],3,FALSE)</f>
        <v>Furnitur</v>
      </c>
      <c r="I400" s="37">
        <f>INDEX(Table2[Harga Jual],MATCH(Table1[[#This Row],[SKU]],Table2[SKU],0))</f>
        <v>2100000</v>
      </c>
      <c r="J400" s="37">
        <f>VLOOKUP(Table1[[#This Row],[SKU]],Table2[],4,FALSE)</f>
        <v>1200000</v>
      </c>
      <c r="K400" s="37">
        <f>INDEX(Table3[Biaya Kirim per Unit],MATCH(Table1[[#This Row],[Kota]],Table3[Kota],))</f>
        <v>50000</v>
      </c>
      <c r="L400" s="39">
        <f>VLOOKUP(Table1[[#This Row],[Kode_Promo]],Table4[],2,FALSE)</f>
        <v>0</v>
      </c>
      <c r="M400" s="37">
        <f>Table1[[#This Row],[Jumlah_Unit]]*Table1[[#This Row],[Harga_Satuan]]</f>
        <v>8400000</v>
      </c>
      <c r="N400" s="37">
        <f>Table1[[#This Row],[Total_Pendapatan_Kotor]]*Table1[[#This Row],[Persentase_Diskon]]</f>
        <v>0</v>
      </c>
      <c r="O400" s="37">
        <f>Table1[[#This Row],[Total_Pendapatan_Kotor]]-Table1[[#This Row],[Potongan_Diskon]]</f>
        <v>8400000</v>
      </c>
      <c r="P400" s="37">
        <f>(Table1[[#This Row],[Jumlah_Unit]]*Table1[[#This Row],[HPP_Satuan]])+(Table1[[#This Row],[Jumlah_Unit]]*Table1[[#This Row],[Biaya_Kirim_Satuan]])</f>
        <v>5000000</v>
      </c>
      <c r="Q400" s="37">
        <f>Table1[[#This Row],[Total_Pendapatan_Bersih]]-Table1[[#This Row],[Total_Biaya]]</f>
        <v>3400000</v>
      </c>
      <c r="R400" s="5">
        <f>Table1[[#This Row],[Laba_Kotor]]/Table1[[#This Row],[Total_Pendapatan_Bersih]]</f>
        <v>0.40476190476190477</v>
      </c>
    </row>
    <row r="401" spans="1:18" ht="20.25" thickBot="1" x14ac:dyDescent="0.6">
      <c r="A401" s="3" t="s">
        <v>430</v>
      </c>
      <c r="B401" s="21">
        <v>45900</v>
      </c>
      <c r="C401" s="1" t="s">
        <v>31</v>
      </c>
      <c r="D401" s="1" t="s">
        <v>35</v>
      </c>
      <c r="E401" s="2">
        <v>1</v>
      </c>
      <c r="F401" s="1" t="s">
        <v>33</v>
      </c>
      <c r="G401" s="1" t="str">
        <f>INDEX(Table2[Nama Produk],MATCH(Table1[[#This Row],[SKU]],Table2[SKU],0))</f>
        <v>Meja Adjustable</v>
      </c>
      <c r="H401" s="1" t="str">
        <f>VLOOKUP(Table1[[#This Row],[SKU]],Table2[],3,FALSE)</f>
        <v>Furnitur</v>
      </c>
      <c r="I401" s="37">
        <f>INDEX(Table2[Harga Jual],MATCH(Table1[[#This Row],[SKU]],Table2[SKU],0))</f>
        <v>4200000</v>
      </c>
      <c r="J401" s="37">
        <f>VLOOKUP(Table1[[#This Row],[SKU]],Table2[],4,FALSE)</f>
        <v>2400000</v>
      </c>
      <c r="K401" s="37">
        <f>INDEX(Table3[Biaya Kirim per Unit],MATCH(Table1[[#This Row],[Kota]],Table3[Kota],))</f>
        <v>65000</v>
      </c>
      <c r="L401" s="39">
        <f>VLOOKUP(Table1[[#This Row],[Kode_Promo]],Table4[],2,FALSE)</f>
        <v>0.2</v>
      </c>
      <c r="M401" s="37">
        <f>Table1[[#This Row],[Jumlah_Unit]]*Table1[[#This Row],[Harga_Satuan]]</f>
        <v>4200000</v>
      </c>
      <c r="N401" s="37">
        <f>Table1[[#This Row],[Total_Pendapatan_Kotor]]*Table1[[#This Row],[Persentase_Diskon]]</f>
        <v>840000</v>
      </c>
      <c r="O401" s="37">
        <f>Table1[[#This Row],[Total_Pendapatan_Kotor]]-Table1[[#This Row],[Potongan_Diskon]]</f>
        <v>3360000</v>
      </c>
      <c r="P401" s="37">
        <f>(Table1[[#This Row],[Jumlah_Unit]]*Table1[[#This Row],[HPP_Satuan]])+(Table1[[#This Row],[Jumlah_Unit]]*Table1[[#This Row],[Biaya_Kirim_Satuan]])</f>
        <v>2465000</v>
      </c>
      <c r="Q401" s="37">
        <f>Table1[[#This Row],[Total_Pendapatan_Bersih]]-Table1[[#This Row],[Total_Biaya]]</f>
        <v>895000</v>
      </c>
      <c r="R401" s="5">
        <f>Table1[[#This Row],[Laba_Kotor]]/Table1[[#This Row],[Total_Pendapatan_Bersih]]</f>
        <v>0.26636904761904762</v>
      </c>
    </row>
    <row r="402" spans="1:18" ht="20.25" thickBot="1" x14ac:dyDescent="0.6">
      <c r="A402" s="3" t="s">
        <v>431</v>
      </c>
      <c r="B402" s="21">
        <v>45907</v>
      </c>
      <c r="C402" s="1" t="s">
        <v>19</v>
      </c>
      <c r="D402" s="1" t="s">
        <v>20</v>
      </c>
      <c r="E402" s="2">
        <v>2</v>
      </c>
      <c r="F402" s="1" t="s">
        <v>21</v>
      </c>
      <c r="G402" s="1" t="str">
        <f>INDEX(Table2[Nama Produk],MATCH(Table1[[#This Row],[SKU]],Table2[SKU],0))</f>
        <v>Laptop Pro 14</v>
      </c>
      <c r="H402" s="1" t="str">
        <f>VLOOKUP(Table1[[#This Row],[SKU]],Table2[],3,FALSE)</f>
        <v>Elektronik</v>
      </c>
      <c r="I402" s="37">
        <f>INDEX(Table2[Harga Jual],MATCH(Table1[[#This Row],[SKU]],Table2[SKU],0))</f>
        <v>12000000</v>
      </c>
      <c r="J402" s="37">
        <f>VLOOKUP(Table1[[#This Row],[SKU]],Table2[],4,FALSE)</f>
        <v>8500000</v>
      </c>
      <c r="K402" s="37">
        <f>INDEX(Table3[Biaya Kirim per Unit],MATCH(Table1[[#This Row],[Kota]],Table3[Kota],))</f>
        <v>25000</v>
      </c>
      <c r="L402" s="39">
        <f>VLOOKUP(Table1[[#This Row],[Kode_Promo]],Table4[],2,FALSE)</f>
        <v>0.1</v>
      </c>
      <c r="M402" s="37">
        <f>Table1[[#This Row],[Jumlah_Unit]]*Table1[[#This Row],[Harga_Satuan]]</f>
        <v>24000000</v>
      </c>
      <c r="N402" s="37">
        <f>Table1[[#This Row],[Total_Pendapatan_Kotor]]*Table1[[#This Row],[Persentase_Diskon]]</f>
        <v>2400000</v>
      </c>
      <c r="O402" s="37">
        <f>Table1[[#This Row],[Total_Pendapatan_Kotor]]-Table1[[#This Row],[Potongan_Diskon]]</f>
        <v>21600000</v>
      </c>
      <c r="P402" s="37">
        <f>(Table1[[#This Row],[Jumlah_Unit]]*Table1[[#This Row],[HPP_Satuan]])+(Table1[[#This Row],[Jumlah_Unit]]*Table1[[#This Row],[Biaya_Kirim_Satuan]])</f>
        <v>17050000</v>
      </c>
      <c r="Q402" s="37">
        <f>Table1[[#This Row],[Total_Pendapatan_Bersih]]-Table1[[#This Row],[Total_Biaya]]</f>
        <v>4550000</v>
      </c>
      <c r="R402" s="5">
        <f>Table1[[#This Row],[Laba_Kotor]]/Table1[[#This Row],[Total_Pendapatan_Bersih]]</f>
        <v>0.21064814814814814</v>
      </c>
    </row>
    <row r="403" spans="1:18" ht="20.25" thickBot="1" x14ac:dyDescent="0.6">
      <c r="A403" s="3" t="s">
        <v>432</v>
      </c>
      <c r="B403" s="21">
        <v>45914</v>
      </c>
      <c r="C403" s="1" t="s">
        <v>23</v>
      </c>
      <c r="D403" s="1" t="s">
        <v>24</v>
      </c>
      <c r="E403" s="2">
        <v>5</v>
      </c>
      <c r="F403" s="1" t="s">
        <v>25</v>
      </c>
      <c r="G403" s="1" t="str">
        <f>INDEX(Table2[Nama Produk],MATCH(Table1[[#This Row],[SKU]],Table2[SKU],0))</f>
        <v>Mechanical Keyboard</v>
      </c>
      <c r="H403" s="1" t="str">
        <f>VLOOKUP(Table1[[#This Row],[SKU]],Table2[],3,FALSE)</f>
        <v>Aksesori</v>
      </c>
      <c r="I403" s="37">
        <f>INDEX(Table2[Harga Jual],MATCH(Table1[[#This Row],[SKU]],Table2[SKU],0))</f>
        <v>850000</v>
      </c>
      <c r="J403" s="37">
        <f>VLOOKUP(Table1[[#This Row],[SKU]],Table2[],4,FALSE)</f>
        <v>450000</v>
      </c>
      <c r="K403" s="37">
        <f>INDEX(Table3[Biaya Kirim per Unit],MATCH(Table1[[#This Row],[Kota]],Table3[Kota],))</f>
        <v>35000</v>
      </c>
      <c r="L403" s="39">
        <f>VLOOKUP(Table1[[#This Row],[Kode_Promo]],Table4[],2,FALSE)</f>
        <v>0.3</v>
      </c>
      <c r="M403" s="37">
        <f>Table1[[#This Row],[Jumlah_Unit]]*Table1[[#This Row],[Harga_Satuan]]</f>
        <v>4250000</v>
      </c>
      <c r="N403" s="37">
        <f>Table1[[#This Row],[Total_Pendapatan_Kotor]]*Table1[[#This Row],[Persentase_Diskon]]</f>
        <v>1275000</v>
      </c>
      <c r="O403" s="37">
        <f>Table1[[#This Row],[Total_Pendapatan_Kotor]]-Table1[[#This Row],[Potongan_Diskon]]</f>
        <v>2975000</v>
      </c>
      <c r="P403" s="37">
        <f>(Table1[[#This Row],[Jumlah_Unit]]*Table1[[#This Row],[HPP_Satuan]])+(Table1[[#This Row],[Jumlah_Unit]]*Table1[[#This Row],[Biaya_Kirim_Satuan]])</f>
        <v>2425000</v>
      </c>
      <c r="Q403" s="37">
        <f>Table1[[#This Row],[Total_Pendapatan_Bersih]]-Table1[[#This Row],[Total_Biaya]]</f>
        <v>550000</v>
      </c>
      <c r="R403" s="5">
        <f>Table1[[#This Row],[Laba_Kotor]]/Table1[[#This Row],[Total_Pendapatan_Bersih]]</f>
        <v>0.18487394957983194</v>
      </c>
    </row>
    <row r="404" spans="1:18" ht="20.25" thickBot="1" x14ac:dyDescent="0.6">
      <c r="A404" s="3" t="s">
        <v>433</v>
      </c>
      <c r="B404" s="21">
        <v>45921</v>
      </c>
      <c r="C404" s="1" t="s">
        <v>27</v>
      </c>
      <c r="D404" s="1" t="s">
        <v>32</v>
      </c>
      <c r="E404" s="2">
        <v>3</v>
      </c>
      <c r="F404" s="1" t="s">
        <v>29</v>
      </c>
      <c r="G404" s="1" t="str">
        <f>INDEX(Table2[Nama Produk],MATCH(Table1[[#This Row],[SKU]],Table2[SKU],0))</f>
        <v>Monitor Ergonomis 27</v>
      </c>
      <c r="H404" s="1" t="str">
        <f>VLOOKUP(Table1[[#This Row],[SKU]],Table2[],3,FALSE)</f>
        <v>Elektronik</v>
      </c>
      <c r="I404" s="37">
        <f>INDEX(Table2[Harga Jual],MATCH(Table1[[#This Row],[SKU]],Table2[SKU],0))</f>
        <v>3400000</v>
      </c>
      <c r="J404" s="37">
        <f>VLOOKUP(Table1[[#This Row],[SKU]],Table2[],4,FALSE)</f>
        <v>2100000</v>
      </c>
      <c r="K404" s="37">
        <f>INDEX(Table3[Biaya Kirim per Unit],MATCH(Table1[[#This Row],[Kota]],Table3[Kota],))</f>
        <v>50000</v>
      </c>
      <c r="L404" s="39">
        <f>VLOOKUP(Table1[[#This Row],[Kode_Promo]],Table4[],2,FALSE)</f>
        <v>0</v>
      </c>
      <c r="M404" s="37">
        <f>Table1[[#This Row],[Jumlah_Unit]]*Table1[[#This Row],[Harga_Satuan]]</f>
        <v>10200000</v>
      </c>
      <c r="N404" s="37">
        <f>Table1[[#This Row],[Total_Pendapatan_Kotor]]*Table1[[#This Row],[Persentase_Diskon]]</f>
        <v>0</v>
      </c>
      <c r="O404" s="37">
        <f>Table1[[#This Row],[Total_Pendapatan_Kotor]]-Table1[[#This Row],[Potongan_Diskon]]</f>
        <v>10200000</v>
      </c>
      <c r="P404" s="37">
        <f>(Table1[[#This Row],[Jumlah_Unit]]*Table1[[#This Row],[HPP_Satuan]])+(Table1[[#This Row],[Jumlah_Unit]]*Table1[[#This Row],[Biaya_Kirim_Satuan]])</f>
        <v>6450000</v>
      </c>
      <c r="Q404" s="37">
        <f>Table1[[#This Row],[Total_Pendapatan_Bersih]]-Table1[[#This Row],[Total_Biaya]]</f>
        <v>3750000</v>
      </c>
      <c r="R404" s="5">
        <f>Table1[[#This Row],[Laba_Kotor]]/Table1[[#This Row],[Total_Pendapatan_Bersih]]</f>
        <v>0.36764705882352944</v>
      </c>
    </row>
    <row r="405" spans="1:18" ht="20.25" thickBot="1" x14ac:dyDescent="0.6">
      <c r="A405" s="3" t="s">
        <v>434</v>
      </c>
      <c r="B405" s="21">
        <v>45928</v>
      </c>
      <c r="C405" s="1" t="s">
        <v>31</v>
      </c>
      <c r="D405" s="1" t="s">
        <v>28</v>
      </c>
      <c r="E405" s="2">
        <v>2</v>
      </c>
      <c r="F405" s="1" t="s">
        <v>33</v>
      </c>
      <c r="G405" s="1" t="str">
        <f>INDEX(Table2[Nama Produk],MATCH(Table1[[#This Row],[SKU]],Table2[SKU],0))</f>
        <v>Kursi Kerja Ergonomis</v>
      </c>
      <c r="H405" s="1" t="str">
        <f>VLOOKUP(Table1[[#This Row],[SKU]],Table2[],3,FALSE)</f>
        <v>Furnitur</v>
      </c>
      <c r="I405" s="37">
        <f>INDEX(Table2[Harga Jual],MATCH(Table1[[#This Row],[SKU]],Table2[SKU],0))</f>
        <v>2100000</v>
      </c>
      <c r="J405" s="37">
        <f>VLOOKUP(Table1[[#This Row],[SKU]],Table2[],4,FALSE)</f>
        <v>1200000</v>
      </c>
      <c r="K405" s="37">
        <f>INDEX(Table3[Biaya Kirim per Unit],MATCH(Table1[[#This Row],[Kota]],Table3[Kota],))</f>
        <v>65000</v>
      </c>
      <c r="L405" s="39">
        <f>VLOOKUP(Table1[[#This Row],[Kode_Promo]],Table4[],2,FALSE)</f>
        <v>0.2</v>
      </c>
      <c r="M405" s="37">
        <f>Table1[[#This Row],[Jumlah_Unit]]*Table1[[#This Row],[Harga_Satuan]]</f>
        <v>4200000</v>
      </c>
      <c r="N405" s="37">
        <f>Table1[[#This Row],[Total_Pendapatan_Kotor]]*Table1[[#This Row],[Persentase_Diskon]]</f>
        <v>840000</v>
      </c>
      <c r="O405" s="37">
        <f>Table1[[#This Row],[Total_Pendapatan_Kotor]]-Table1[[#This Row],[Potongan_Diskon]]</f>
        <v>3360000</v>
      </c>
      <c r="P405" s="37">
        <f>(Table1[[#This Row],[Jumlah_Unit]]*Table1[[#This Row],[HPP_Satuan]])+(Table1[[#This Row],[Jumlah_Unit]]*Table1[[#This Row],[Biaya_Kirim_Satuan]])</f>
        <v>2530000</v>
      </c>
      <c r="Q405" s="37">
        <f>Table1[[#This Row],[Total_Pendapatan_Bersih]]-Table1[[#This Row],[Total_Biaya]]</f>
        <v>830000</v>
      </c>
      <c r="R405" s="5">
        <f>Table1[[#This Row],[Laba_Kotor]]/Table1[[#This Row],[Total_Pendapatan_Bersih]]</f>
        <v>0.24702380952380953</v>
      </c>
    </row>
    <row r="406" spans="1:18" ht="20.25" thickBot="1" x14ac:dyDescent="0.6">
      <c r="A406" s="3" t="s">
        <v>435</v>
      </c>
      <c r="B406" s="21">
        <v>45935</v>
      </c>
      <c r="C406" s="1" t="s">
        <v>19</v>
      </c>
      <c r="D406" s="1" t="s">
        <v>35</v>
      </c>
      <c r="E406" s="2">
        <v>4</v>
      </c>
      <c r="F406" s="1" t="s">
        <v>21</v>
      </c>
      <c r="G406" s="1" t="str">
        <f>INDEX(Table2[Nama Produk],MATCH(Table1[[#This Row],[SKU]],Table2[SKU],0))</f>
        <v>Meja Adjustable</v>
      </c>
      <c r="H406" s="1" t="str">
        <f>VLOOKUP(Table1[[#This Row],[SKU]],Table2[],3,FALSE)</f>
        <v>Furnitur</v>
      </c>
      <c r="I406" s="37">
        <f>INDEX(Table2[Harga Jual],MATCH(Table1[[#This Row],[SKU]],Table2[SKU],0))</f>
        <v>4200000</v>
      </c>
      <c r="J406" s="37">
        <f>VLOOKUP(Table1[[#This Row],[SKU]],Table2[],4,FALSE)</f>
        <v>2400000</v>
      </c>
      <c r="K406" s="37">
        <f>INDEX(Table3[Biaya Kirim per Unit],MATCH(Table1[[#This Row],[Kota]],Table3[Kota],))</f>
        <v>25000</v>
      </c>
      <c r="L406" s="39">
        <f>VLOOKUP(Table1[[#This Row],[Kode_Promo]],Table4[],2,FALSE)</f>
        <v>0.1</v>
      </c>
      <c r="M406" s="37">
        <f>Table1[[#This Row],[Jumlah_Unit]]*Table1[[#This Row],[Harga_Satuan]]</f>
        <v>16800000</v>
      </c>
      <c r="N406" s="37">
        <f>Table1[[#This Row],[Total_Pendapatan_Kotor]]*Table1[[#This Row],[Persentase_Diskon]]</f>
        <v>1680000</v>
      </c>
      <c r="O406" s="37">
        <f>Table1[[#This Row],[Total_Pendapatan_Kotor]]-Table1[[#This Row],[Potongan_Diskon]]</f>
        <v>15120000</v>
      </c>
      <c r="P406" s="37">
        <f>(Table1[[#This Row],[Jumlah_Unit]]*Table1[[#This Row],[HPP_Satuan]])+(Table1[[#This Row],[Jumlah_Unit]]*Table1[[#This Row],[Biaya_Kirim_Satuan]])</f>
        <v>9700000</v>
      </c>
      <c r="Q406" s="37">
        <f>Table1[[#This Row],[Total_Pendapatan_Bersih]]-Table1[[#This Row],[Total_Biaya]]</f>
        <v>5420000</v>
      </c>
      <c r="R406" s="5">
        <f>Table1[[#This Row],[Laba_Kotor]]/Table1[[#This Row],[Total_Pendapatan_Bersih]]</f>
        <v>0.35846560846560849</v>
      </c>
    </row>
    <row r="407" spans="1:18" ht="20.25" thickBot="1" x14ac:dyDescent="0.6">
      <c r="A407" s="3" t="s">
        <v>436</v>
      </c>
      <c r="B407" s="21">
        <v>45942</v>
      </c>
      <c r="C407" s="1" t="s">
        <v>23</v>
      </c>
      <c r="D407" s="1" t="s">
        <v>20</v>
      </c>
      <c r="E407" s="2">
        <v>1</v>
      </c>
      <c r="F407" s="1" t="s">
        <v>29</v>
      </c>
      <c r="G407" s="1" t="str">
        <f>INDEX(Table2[Nama Produk],MATCH(Table1[[#This Row],[SKU]],Table2[SKU],0))</f>
        <v>Laptop Pro 14</v>
      </c>
      <c r="H407" s="1" t="str">
        <f>VLOOKUP(Table1[[#This Row],[SKU]],Table2[],3,FALSE)</f>
        <v>Elektronik</v>
      </c>
      <c r="I407" s="37">
        <f>INDEX(Table2[Harga Jual],MATCH(Table1[[#This Row],[SKU]],Table2[SKU],0))</f>
        <v>12000000</v>
      </c>
      <c r="J407" s="37">
        <f>VLOOKUP(Table1[[#This Row],[SKU]],Table2[],4,FALSE)</f>
        <v>8500000</v>
      </c>
      <c r="K407" s="37">
        <f>INDEX(Table3[Biaya Kirim per Unit],MATCH(Table1[[#This Row],[Kota]],Table3[Kota],))</f>
        <v>35000</v>
      </c>
      <c r="L407" s="39">
        <f>VLOOKUP(Table1[[#This Row],[Kode_Promo]],Table4[],2,FALSE)</f>
        <v>0</v>
      </c>
      <c r="M407" s="37">
        <f>Table1[[#This Row],[Jumlah_Unit]]*Table1[[#This Row],[Harga_Satuan]]</f>
        <v>12000000</v>
      </c>
      <c r="N407" s="37">
        <f>Table1[[#This Row],[Total_Pendapatan_Kotor]]*Table1[[#This Row],[Persentase_Diskon]]</f>
        <v>0</v>
      </c>
      <c r="O407" s="37">
        <f>Table1[[#This Row],[Total_Pendapatan_Kotor]]-Table1[[#This Row],[Potongan_Diskon]]</f>
        <v>12000000</v>
      </c>
      <c r="P407" s="37">
        <f>(Table1[[#This Row],[Jumlah_Unit]]*Table1[[#This Row],[HPP_Satuan]])+(Table1[[#This Row],[Jumlah_Unit]]*Table1[[#This Row],[Biaya_Kirim_Satuan]])</f>
        <v>8535000</v>
      </c>
      <c r="Q407" s="37">
        <f>Table1[[#This Row],[Total_Pendapatan_Bersih]]-Table1[[#This Row],[Total_Biaya]]</f>
        <v>3465000</v>
      </c>
      <c r="R407" s="5">
        <f>Table1[[#This Row],[Laba_Kotor]]/Table1[[#This Row],[Total_Pendapatan_Bersih]]</f>
        <v>0.28875000000000001</v>
      </c>
    </row>
    <row r="408" spans="1:18" ht="20.25" thickBot="1" x14ac:dyDescent="0.6">
      <c r="A408" s="3" t="s">
        <v>437</v>
      </c>
      <c r="B408" s="21">
        <v>45949</v>
      </c>
      <c r="C408" s="1" t="s">
        <v>27</v>
      </c>
      <c r="D408" s="1" t="s">
        <v>24</v>
      </c>
      <c r="E408" s="2">
        <v>8</v>
      </c>
      <c r="F408" s="1" t="s">
        <v>25</v>
      </c>
      <c r="G408" s="1" t="str">
        <f>INDEX(Table2[Nama Produk],MATCH(Table1[[#This Row],[SKU]],Table2[SKU],0))</f>
        <v>Mechanical Keyboard</v>
      </c>
      <c r="H408" s="1" t="str">
        <f>VLOOKUP(Table1[[#This Row],[SKU]],Table2[],3,FALSE)</f>
        <v>Aksesori</v>
      </c>
      <c r="I408" s="37">
        <f>INDEX(Table2[Harga Jual],MATCH(Table1[[#This Row],[SKU]],Table2[SKU],0))</f>
        <v>850000</v>
      </c>
      <c r="J408" s="37">
        <f>VLOOKUP(Table1[[#This Row],[SKU]],Table2[],4,FALSE)</f>
        <v>450000</v>
      </c>
      <c r="K408" s="37">
        <f>INDEX(Table3[Biaya Kirim per Unit],MATCH(Table1[[#This Row],[Kota]],Table3[Kota],))</f>
        <v>50000</v>
      </c>
      <c r="L408" s="39">
        <f>VLOOKUP(Table1[[#This Row],[Kode_Promo]],Table4[],2,FALSE)</f>
        <v>0.3</v>
      </c>
      <c r="M408" s="37">
        <f>Table1[[#This Row],[Jumlah_Unit]]*Table1[[#This Row],[Harga_Satuan]]</f>
        <v>6800000</v>
      </c>
      <c r="N408" s="37">
        <f>Table1[[#This Row],[Total_Pendapatan_Kotor]]*Table1[[#This Row],[Persentase_Diskon]]</f>
        <v>2040000</v>
      </c>
      <c r="O408" s="37">
        <f>Table1[[#This Row],[Total_Pendapatan_Kotor]]-Table1[[#This Row],[Potongan_Diskon]]</f>
        <v>4760000</v>
      </c>
      <c r="P408" s="37">
        <f>(Table1[[#This Row],[Jumlah_Unit]]*Table1[[#This Row],[HPP_Satuan]])+(Table1[[#This Row],[Jumlah_Unit]]*Table1[[#This Row],[Biaya_Kirim_Satuan]])</f>
        <v>4000000</v>
      </c>
      <c r="Q408" s="37">
        <f>Table1[[#This Row],[Total_Pendapatan_Bersih]]-Table1[[#This Row],[Total_Biaya]]</f>
        <v>760000</v>
      </c>
      <c r="R408" s="5">
        <f>Table1[[#This Row],[Laba_Kotor]]/Table1[[#This Row],[Total_Pendapatan_Bersih]]</f>
        <v>0.15966386554621848</v>
      </c>
    </row>
    <row r="409" spans="1:18" ht="20.25" thickBot="1" x14ac:dyDescent="0.6">
      <c r="A409" s="3" t="s">
        <v>438</v>
      </c>
      <c r="B409" s="21">
        <v>45956</v>
      </c>
      <c r="C409" s="1" t="s">
        <v>31</v>
      </c>
      <c r="D409" s="1" t="s">
        <v>32</v>
      </c>
      <c r="E409" s="2">
        <v>2</v>
      </c>
      <c r="F409" s="1" t="s">
        <v>33</v>
      </c>
      <c r="G409" s="1" t="str">
        <f>INDEX(Table2[Nama Produk],MATCH(Table1[[#This Row],[SKU]],Table2[SKU],0))</f>
        <v>Monitor Ergonomis 27</v>
      </c>
      <c r="H409" s="1" t="str">
        <f>VLOOKUP(Table1[[#This Row],[SKU]],Table2[],3,FALSE)</f>
        <v>Elektronik</v>
      </c>
      <c r="I409" s="37">
        <f>INDEX(Table2[Harga Jual],MATCH(Table1[[#This Row],[SKU]],Table2[SKU],0))</f>
        <v>3400000</v>
      </c>
      <c r="J409" s="37">
        <f>VLOOKUP(Table1[[#This Row],[SKU]],Table2[],4,FALSE)</f>
        <v>2100000</v>
      </c>
      <c r="K409" s="37">
        <f>INDEX(Table3[Biaya Kirim per Unit],MATCH(Table1[[#This Row],[Kota]],Table3[Kota],))</f>
        <v>65000</v>
      </c>
      <c r="L409" s="39">
        <f>VLOOKUP(Table1[[#This Row],[Kode_Promo]],Table4[],2,FALSE)</f>
        <v>0.2</v>
      </c>
      <c r="M409" s="37">
        <f>Table1[[#This Row],[Jumlah_Unit]]*Table1[[#This Row],[Harga_Satuan]]</f>
        <v>6800000</v>
      </c>
      <c r="N409" s="37">
        <f>Table1[[#This Row],[Total_Pendapatan_Kotor]]*Table1[[#This Row],[Persentase_Diskon]]</f>
        <v>1360000</v>
      </c>
      <c r="O409" s="37">
        <f>Table1[[#This Row],[Total_Pendapatan_Kotor]]-Table1[[#This Row],[Potongan_Diskon]]</f>
        <v>5440000</v>
      </c>
      <c r="P409" s="37">
        <f>(Table1[[#This Row],[Jumlah_Unit]]*Table1[[#This Row],[HPP_Satuan]])+(Table1[[#This Row],[Jumlah_Unit]]*Table1[[#This Row],[Biaya_Kirim_Satuan]])</f>
        <v>4330000</v>
      </c>
      <c r="Q409" s="37">
        <f>Table1[[#This Row],[Total_Pendapatan_Bersih]]-Table1[[#This Row],[Total_Biaya]]</f>
        <v>1110000</v>
      </c>
      <c r="R409" s="5">
        <f>Table1[[#This Row],[Laba_Kotor]]/Table1[[#This Row],[Total_Pendapatan_Bersih]]</f>
        <v>0.20404411764705882</v>
      </c>
    </row>
    <row r="410" spans="1:18" ht="20.25" thickBot="1" x14ac:dyDescent="0.6">
      <c r="A410" s="3" t="s">
        <v>439</v>
      </c>
      <c r="B410" s="21">
        <v>45963</v>
      </c>
      <c r="C410" s="1" t="s">
        <v>19</v>
      </c>
      <c r="D410" s="1" t="s">
        <v>28</v>
      </c>
      <c r="E410" s="2">
        <v>3</v>
      </c>
      <c r="F410" s="1" t="s">
        <v>21</v>
      </c>
      <c r="G410" s="1" t="str">
        <f>INDEX(Table2[Nama Produk],MATCH(Table1[[#This Row],[SKU]],Table2[SKU],0))</f>
        <v>Kursi Kerja Ergonomis</v>
      </c>
      <c r="H410" s="1" t="str">
        <f>VLOOKUP(Table1[[#This Row],[SKU]],Table2[],3,FALSE)</f>
        <v>Furnitur</v>
      </c>
      <c r="I410" s="37">
        <f>INDEX(Table2[Harga Jual],MATCH(Table1[[#This Row],[SKU]],Table2[SKU],0))</f>
        <v>2100000</v>
      </c>
      <c r="J410" s="37">
        <f>VLOOKUP(Table1[[#This Row],[SKU]],Table2[],4,FALSE)</f>
        <v>1200000</v>
      </c>
      <c r="K410" s="37">
        <f>INDEX(Table3[Biaya Kirim per Unit],MATCH(Table1[[#This Row],[Kota]],Table3[Kota],))</f>
        <v>25000</v>
      </c>
      <c r="L410" s="39">
        <f>VLOOKUP(Table1[[#This Row],[Kode_Promo]],Table4[],2,FALSE)</f>
        <v>0.1</v>
      </c>
      <c r="M410" s="37">
        <f>Table1[[#This Row],[Jumlah_Unit]]*Table1[[#This Row],[Harga_Satuan]]</f>
        <v>6300000</v>
      </c>
      <c r="N410" s="37">
        <f>Table1[[#This Row],[Total_Pendapatan_Kotor]]*Table1[[#This Row],[Persentase_Diskon]]</f>
        <v>630000</v>
      </c>
      <c r="O410" s="37">
        <f>Table1[[#This Row],[Total_Pendapatan_Kotor]]-Table1[[#This Row],[Potongan_Diskon]]</f>
        <v>5670000</v>
      </c>
      <c r="P410" s="37">
        <f>(Table1[[#This Row],[Jumlah_Unit]]*Table1[[#This Row],[HPP_Satuan]])+(Table1[[#This Row],[Jumlah_Unit]]*Table1[[#This Row],[Biaya_Kirim_Satuan]])</f>
        <v>3675000</v>
      </c>
      <c r="Q410" s="37">
        <f>Table1[[#This Row],[Total_Pendapatan_Bersih]]-Table1[[#This Row],[Total_Biaya]]</f>
        <v>1995000</v>
      </c>
      <c r="R410" s="5">
        <f>Table1[[#This Row],[Laba_Kotor]]/Table1[[#This Row],[Total_Pendapatan_Bersih]]</f>
        <v>0.35185185185185186</v>
      </c>
    </row>
    <row r="411" spans="1:18" ht="20.25" thickBot="1" x14ac:dyDescent="0.6">
      <c r="A411" s="3" t="s">
        <v>440</v>
      </c>
      <c r="B411" s="21">
        <v>45970</v>
      </c>
      <c r="C411" s="1" t="s">
        <v>23</v>
      </c>
      <c r="D411" s="1" t="s">
        <v>35</v>
      </c>
      <c r="E411" s="2">
        <v>5</v>
      </c>
      <c r="F411" s="1" t="s">
        <v>25</v>
      </c>
      <c r="G411" s="1" t="str">
        <f>INDEX(Table2[Nama Produk],MATCH(Table1[[#This Row],[SKU]],Table2[SKU],0))</f>
        <v>Meja Adjustable</v>
      </c>
      <c r="H411" s="1" t="str">
        <f>VLOOKUP(Table1[[#This Row],[SKU]],Table2[],3,FALSE)</f>
        <v>Furnitur</v>
      </c>
      <c r="I411" s="37">
        <f>INDEX(Table2[Harga Jual],MATCH(Table1[[#This Row],[SKU]],Table2[SKU],0))</f>
        <v>4200000</v>
      </c>
      <c r="J411" s="37">
        <f>VLOOKUP(Table1[[#This Row],[SKU]],Table2[],4,FALSE)</f>
        <v>2400000</v>
      </c>
      <c r="K411" s="37">
        <f>INDEX(Table3[Biaya Kirim per Unit],MATCH(Table1[[#This Row],[Kota]],Table3[Kota],))</f>
        <v>35000</v>
      </c>
      <c r="L411" s="39">
        <f>VLOOKUP(Table1[[#This Row],[Kode_Promo]],Table4[],2,FALSE)</f>
        <v>0.3</v>
      </c>
      <c r="M411" s="37">
        <f>Table1[[#This Row],[Jumlah_Unit]]*Table1[[#This Row],[Harga_Satuan]]</f>
        <v>21000000</v>
      </c>
      <c r="N411" s="37">
        <f>Table1[[#This Row],[Total_Pendapatan_Kotor]]*Table1[[#This Row],[Persentase_Diskon]]</f>
        <v>6300000</v>
      </c>
      <c r="O411" s="37">
        <f>Table1[[#This Row],[Total_Pendapatan_Kotor]]-Table1[[#This Row],[Potongan_Diskon]]</f>
        <v>14700000</v>
      </c>
      <c r="P411" s="37">
        <f>(Table1[[#This Row],[Jumlah_Unit]]*Table1[[#This Row],[HPP_Satuan]])+(Table1[[#This Row],[Jumlah_Unit]]*Table1[[#This Row],[Biaya_Kirim_Satuan]])</f>
        <v>12175000</v>
      </c>
      <c r="Q411" s="37">
        <f>Table1[[#This Row],[Total_Pendapatan_Bersih]]-Table1[[#This Row],[Total_Biaya]]</f>
        <v>2525000</v>
      </c>
      <c r="R411" s="5">
        <f>Table1[[#This Row],[Laba_Kotor]]/Table1[[#This Row],[Total_Pendapatan_Bersih]]</f>
        <v>0.17176870748299319</v>
      </c>
    </row>
    <row r="412" spans="1:18" ht="20.25" thickBot="1" x14ac:dyDescent="0.6">
      <c r="A412" s="3" t="s">
        <v>441</v>
      </c>
      <c r="B412" s="21">
        <v>45977</v>
      </c>
      <c r="C412" s="1" t="s">
        <v>27</v>
      </c>
      <c r="D412" s="1" t="s">
        <v>20</v>
      </c>
      <c r="E412" s="2">
        <v>2</v>
      </c>
      <c r="F412" s="1" t="s">
        <v>29</v>
      </c>
      <c r="G412" s="1" t="str">
        <f>INDEX(Table2[Nama Produk],MATCH(Table1[[#This Row],[SKU]],Table2[SKU],0))</f>
        <v>Laptop Pro 14</v>
      </c>
      <c r="H412" s="1" t="str">
        <f>VLOOKUP(Table1[[#This Row],[SKU]],Table2[],3,FALSE)</f>
        <v>Elektronik</v>
      </c>
      <c r="I412" s="37">
        <f>INDEX(Table2[Harga Jual],MATCH(Table1[[#This Row],[SKU]],Table2[SKU],0))</f>
        <v>12000000</v>
      </c>
      <c r="J412" s="37">
        <f>VLOOKUP(Table1[[#This Row],[SKU]],Table2[],4,FALSE)</f>
        <v>8500000</v>
      </c>
      <c r="K412" s="37">
        <f>INDEX(Table3[Biaya Kirim per Unit],MATCH(Table1[[#This Row],[Kota]],Table3[Kota],))</f>
        <v>50000</v>
      </c>
      <c r="L412" s="39">
        <f>VLOOKUP(Table1[[#This Row],[Kode_Promo]],Table4[],2,FALSE)</f>
        <v>0</v>
      </c>
      <c r="M412" s="37">
        <f>Table1[[#This Row],[Jumlah_Unit]]*Table1[[#This Row],[Harga_Satuan]]</f>
        <v>24000000</v>
      </c>
      <c r="N412" s="37">
        <f>Table1[[#This Row],[Total_Pendapatan_Kotor]]*Table1[[#This Row],[Persentase_Diskon]]</f>
        <v>0</v>
      </c>
      <c r="O412" s="37">
        <f>Table1[[#This Row],[Total_Pendapatan_Kotor]]-Table1[[#This Row],[Potongan_Diskon]]</f>
        <v>24000000</v>
      </c>
      <c r="P412" s="37">
        <f>(Table1[[#This Row],[Jumlah_Unit]]*Table1[[#This Row],[HPP_Satuan]])+(Table1[[#This Row],[Jumlah_Unit]]*Table1[[#This Row],[Biaya_Kirim_Satuan]])</f>
        <v>17100000</v>
      </c>
      <c r="Q412" s="37">
        <f>Table1[[#This Row],[Total_Pendapatan_Bersih]]-Table1[[#This Row],[Total_Biaya]]</f>
        <v>6900000</v>
      </c>
      <c r="R412" s="5">
        <f>Table1[[#This Row],[Laba_Kotor]]/Table1[[#This Row],[Total_Pendapatan_Bersih]]</f>
        <v>0.28749999999999998</v>
      </c>
    </row>
    <row r="413" spans="1:18" ht="20.25" thickBot="1" x14ac:dyDescent="0.6">
      <c r="A413" s="3" t="s">
        <v>442</v>
      </c>
      <c r="B413" s="21">
        <v>45984</v>
      </c>
      <c r="C413" s="1" t="s">
        <v>31</v>
      </c>
      <c r="D413" s="1" t="s">
        <v>24</v>
      </c>
      <c r="E413" s="2">
        <v>6</v>
      </c>
      <c r="F413" s="1" t="s">
        <v>33</v>
      </c>
      <c r="G413" s="1" t="str">
        <f>INDEX(Table2[Nama Produk],MATCH(Table1[[#This Row],[SKU]],Table2[SKU],0))</f>
        <v>Mechanical Keyboard</v>
      </c>
      <c r="H413" s="1" t="str">
        <f>VLOOKUP(Table1[[#This Row],[SKU]],Table2[],3,FALSE)</f>
        <v>Aksesori</v>
      </c>
      <c r="I413" s="37">
        <f>INDEX(Table2[Harga Jual],MATCH(Table1[[#This Row],[SKU]],Table2[SKU],0))</f>
        <v>850000</v>
      </c>
      <c r="J413" s="37">
        <f>VLOOKUP(Table1[[#This Row],[SKU]],Table2[],4,FALSE)</f>
        <v>450000</v>
      </c>
      <c r="K413" s="37">
        <f>INDEX(Table3[Biaya Kirim per Unit],MATCH(Table1[[#This Row],[Kota]],Table3[Kota],))</f>
        <v>65000</v>
      </c>
      <c r="L413" s="39">
        <f>VLOOKUP(Table1[[#This Row],[Kode_Promo]],Table4[],2,FALSE)</f>
        <v>0.2</v>
      </c>
      <c r="M413" s="37">
        <f>Table1[[#This Row],[Jumlah_Unit]]*Table1[[#This Row],[Harga_Satuan]]</f>
        <v>5100000</v>
      </c>
      <c r="N413" s="37">
        <f>Table1[[#This Row],[Total_Pendapatan_Kotor]]*Table1[[#This Row],[Persentase_Diskon]]</f>
        <v>1020000</v>
      </c>
      <c r="O413" s="37">
        <f>Table1[[#This Row],[Total_Pendapatan_Kotor]]-Table1[[#This Row],[Potongan_Diskon]]</f>
        <v>4080000</v>
      </c>
      <c r="P413" s="37">
        <f>(Table1[[#This Row],[Jumlah_Unit]]*Table1[[#This Row],[HPP_Satuan]])+(Table1[[#This Row],[Jumlah_Unit]]*Table1[[#This Row],[Biaya_Kirim_Satuan]])</f>
        <v>3090000</v>
      </c>
      <c r="Q413" s="37">
        <f>Table1[[#This Row],[Total_Pendapatan_Bersih]]-Table1[[#This Row],[Total_Biaya]]</f>
        <v>990000</v>
      </c>
      <c r="R413" s="5">
        <f>Table1[[#This Row],[Laba_Kotor]]/Table1[[#This Row],[Total_Pendapatan_Bersih]]</f>
        <v>0.24264705882352941</v>
      </c>
    </row>
    <row r="414" spans="1:18" ht="20.25" thickBot="1" x14ac:dyDescent="0.6">
      <c r="A414" s="3" t="s">
        <v>443</v>
      </c>
      <c r="B414" s="21">
        <v>45991</v>
      </c>
      <c r="C414" s="1" t="s">
        <v>19</v>
      </c>
      <c r="D414" s="1" t="s">
        <v>32</v>
      </c>
      <c r="E414" s="2">
        <v>1</v>
      </c>
      <c r="F414" s="1" t="s">
        <v>21</v>
      </c>
      <c r="G414" s="1" t="str">
        <f>INDEX(Table2[Nama Produk],MATCH(Table1[[#This Row],[SKU]],Table2[SKU],0))</f>
        <v>Monitor Ergonomis 27</v>
      </c>
      <c r="H414" s="1" t="str">
        <f>VLOOKUP(Table1[[#This Row],[SKU]],Table2[],3,FALSE)</f>
        <v>Elektronik</v>
      </c>
      <c r="I414" s="37">
        <f>INDEX(Table2[Harga Jual],MATCH(Table1[[#This Row],[SKU]],Table2[SKU],0))</f>
        <v>3400000</v>
      </c>
      <c r="J414" s="37">
        <f>VLOOKUP(Table1[[#This Row],[SKU]],Table2[],4,FALSE)</f>
        <v>2100000</v>
      </c>
      <c r="K414" s="37">
        <f>INDEX(Table3[Biaya Kirim per Unit],MATCH(Table1[[#This Row],[Kota]],Table3[Kota],))</f>
        <v>25000</v>
      </c>
      <c r="L414" s="39">
        <f>VLOOKUP(Table1[[#This Row],[Kode_Promo]],Table4[],2,FALSE)</f>
        <v>0.1</v>
      </c>
      <c r="M414" s="37">
        <f>Table1[[#This Row],[Jumlah_Unit]]*Table1[[#This Row],[Harga_Satuan]]</f>
        <v>3400000</v>
      </c>
      <c r="N414" s="37">
        <f>Table1[[#This Row],[Total_Pendapatan_Kotor]]*Table1[[#This Row],[Persentase_Diskon]]</f>
        <v>340000</v>
      </c>
      <c r="O414" s="37">
        <f>Table1[[#This Row],[Total_Pendapatan_Kotor]]-Table1[[#This Row],[Potongan_Diskon]]</f>
        <v>3060000</v>
      </c>
      <c r="P414" s="37">
        <f>(Table1[[#This Row],[Jumlah_Unit]]*Table1[[#This Row],[HPP_Satuan]])+(Table1[[#This Row],[Jumlah_Unit]]*Table1[[#This Row],[Biaya_Kirim_Satuan]])</f>
        <v>2125000</v>
      </c>
      <c r="Q414" s="37">
        <f>Table1[[#This Row],[Total_Pendapatan_Bersih]]-Table1[[#This Row],[Total_Biaya]]</f>
        <v>935000</v>
      </c>
      <c r="R414" s="5">
        <f>Table1[[#This Row],[Laba_Kotor]]/Table1[[#This Row],[Total_Pendapatan_Bersih]]</f>
        <v>0.30555555555555558</v>
      </c>
    </row>
    <row r="415" spans="1:18" ht="20.25" thickBot="1" x14ac:dyDescent="0.6">
      <c r="A415" s="3" t="s">
        <v>444</v>
      </c>
      <c r="B415" s="21">
        <v>45998</v>
      </c>
      <c r="C415" s="1" t="s">
        <v>23</v>
      </c>
      <c r="D415" s="1" t="s">
        <v>28</v>
      </c>
      <c r="E415" s="2">
        <v>4</v>
      </c>
      <c r="F415" s="1" t="s">
        <v>25</v>
      </c>
      <c r="G415" s="1" t="str">
        <f>INDEX(Table2[Nama Produk],MATCH(Table1[[#This Row],[SKU]],Table2[SKU],0))</f>
        <v>Kursi Kerja Ergonomis</v>
      </c>
      <c r="H415" s="1" t="str">
        <f>VLOOKUP(Table1[[#This Row],[SKU]],Table2[],3,FALSE)</f>
        <v>Furnitur</v>
      </c>
      <c r="I415" s="37">
        <f>INDEX(Table2[Harga Jual],MATCH(Table1[[#This Row],[SKU]],Table2[SKU],0))</f>
        <v>2100000</v>
      </c>
      <c r="J415" s="37">
        <f>VLOOKUP(Table1[[#This Row],[SKU]],Table2[],4,FALSE)</f>
        <v>1200000</v>
      </c>
      <c r="K415" s="37">
        <f>INDEX(Table3[Biaya Kirim per Unit],MATCH(Table1[[#This Row],[Kota]],Table3[Kota],))</f>
        <v>35000</v>
      </c>
      <c r="L415" s="39">
        <f>VLOOKUP(Table1[[#This Row],[Kode_Promo]],Table4[],2,FALSE)</f>
        <v>0.3</v>
      </c>
      <c r="M415" s="37">
        <f>Table1[[#This Row],[Jumlah_Unit]]*Table1[[#This Row],[Harga_Satuan]]</f>
        <v>8400000</v>
      </c>
      <c r="N415" s="37">
        <f>Table1[[#This Row],[Total_Pendapatan_Kotor]]*Table1[[#This Row],[Persentase_Diskon]]</f>
        <v>2520000</v>
      </c>
      <c r="O415" s="37">
        <f>Table1[[#This Row],[Total_Pendapatan_Kotor]]-Table1[[#This Row],[Potongan_Diskon]]</f>
        <v>5880000</v>
      </c>
      <c r="P415" s="37">
        <f>(Table1[[#This Row],[Jumlah_Unit]]*Table1[[#This Row],[HPP_Satuan]])+(Table1[[#This Row],[Jumlah_Unit]]*Table1[[#This Row],[Biaya_Kirim_Satuan]])</f>
        <v>4940000</v>
      </c>
      <c r="Q415" s="37">
        <f>Table1[[#This Row],[Total_Pendapatan_Bersih]]-Table1[[#This Row],[Total_Biaya]]</f>
        <v>940000</v>
      </c>
      <c r="R415" s="5">
        <f>Table1[[#This Row],[Laba_Kotor]]/Table1[[#This Row],[Total_Pendapatan_Bersih]]</f>
        <v>0.1598639455782313</v>
      </c>
    </row>
    <row r="416" spans="1:18" ht="20.25" thickBot="1" x14ac:dyDescent="0.6">
      <c r="A416" s="3" t="s">
        <v>445</v>
      </c>
      <c r="B416" s="21">
        <v>46005</v>
      </c>
      <c r="C416" s="1" t="s">
        <v>27</v>
      </c>
      <c r="D416" s="1" t="s">
        <v>35</v>
      </c>
      <c r="E416" s="2">
        <v>3</v>
      </c>
      <c r="F416" s="1" t="s">
        <v>29</v>
      </c>
      <c r="G416" s="1" t="str">
        <f>INDEX(Table2[Nama Produk],MATCH(Table1[[#This Row],[SKU]],Table2[SKU],0))</f>
        <v>Meja Adjustable</v>
      </c>
      <c r="H416" s="1" t="str">
        <f>VLOOKUP(Table1[[#This Row],[SKU]],Table2[],3,FALSE)</f>
        <v>Furnitur</v>
      </c>
      <c r="I416" s="37">
        <f>INDEX(Table2[Harga Jual],MATCH(Table1[[#This Row],[SKU]],Table2[SKU],0))</f>
        <v>4200000</v>
      </c>
      <c r="J416" s="37">
        <f>VLOOKUP(Table1[[#This Row],[SKU]],Table2[],4,FALSE)</f>
        <v>2400000</v>
      </c>
      <c r="K416" s="37">
        <f>INDEX(Table3[Biaya Kirim per Unit],MATCH(Table1[[#This Row],[Kota]],Table3[Kota],))</f>
        <v>50000</v>
      </c>
      <c r="L416" s="39">
        <f>VLOOKUP(Table1[[#This Row],[Kode_Promo]],Table4[],2,FALSE)</f>
        <v>0</v>
      </c>
      <c r="M416" s="37">
        <f>Table1[[#This Row],[Jumlah_Unit]]*Table1[[#This Row],[Harga_Satuan]]</f>
        <v>12600000</v>
      </c>
      <c r="N416" s="37">
        <f>Table1[[#This Row],[Total_Pendapatan_Kotor]]*Table1[[#This Row],[Persentase_Diskon]]</f>
        <v>0</v>
      </c>
      <c r="O416" s="37">
        <f>Table1[[#This Row],[Total_Pendapatan_Kotor]]-Table1[[#This Row],[Potongan_Diskon]]</f>
        <v>12600000</v>
      </c>
      <c r="P416" s="37">
        <f>(Table1[[#This Row],[Jumlah_Unit]]*Table1[[#This Row],[HPP_Satuan]])+(Table1[[#This Row],[Jumlah_Unit]]*Table1[[#This Row],[Biaya_Kirim_Satuan]])</f>
        <v>7350000</v>
      </c>
      <c r="Q416" s="37">
        <f>Table1[[#This Row],[Total_Pendapatan_Bersih]]-Table1[[#This Row],[Total_Biaya]]</f>
        <v>5250000</v>
      </c>
      <c r="R416" s="5">
        <f>Table1[[#This Row],[Laba_Kotor]]/Table1[[#This Row],[Total_Pendapatan_Bersih]]</f>
        <v>0.41666666666666669</v>
      </c>
    </row>
    <row r="417" spans="1:18" ht="20.25" thickBot="1" x14ac:dyDescent="0.6">
      <c r="A417" s="3" t="s">
        <v>446</v>
      </c>
      <c r="B417" s="21">
        <v>46012</v>
      </c>
      <c r="C417" s="1" t="s">
        <v>31</v>
      </c>
      <c r="D417" s="1" t="s">
        <v>20</v>
      </c>
      <c r="E417" s="2">
        <v>2</v>
      </c>
      <c r="F417" s="1" t="s">
        <v>33</v>
      </c>
      <c r="G417" s="1" t="str">
        <f>INDEX(Table2[Nama Produk],MATCH(Table1[[#This Row],[SKU]],Table2[SKU],0))</f>
        <v>Laptop Pro 14</v>
      </c>
      <c r="H417" s="1" t="str">
        <f>VLOOKUP(Table1[[#This Row],[SKU]],Table2[],3,FALSE)</f>
        <v>Elektronik</v>
      </c>
      <c r="I417" s="37">
        <f>INDEX(Table2[Harga Jual],MATCH(Table1[[#This Row],[SKU]],Table2[SKU],0))</f>
        <v>12000000</v>
      </c>
      <c r="J417" s="37">
        <f>VLOOKUP(Table1[[#This Row],[SKU]],Table2[],4,FALSE)</f>
        <v>8500000</v>
      </c>
      <c r="K417" s="37">
        <f>INDEX(Table3[Biaya Kirim per Unit],MATCH(Table1[[#This Row],[Kota]],Table3[Kota],))</f>
        <v>65000</v>
      </c>
      <c r="L417" s="39">
        <f>VLOOKUP(Table1[[#This Row],[Kode_Promo]],Table4[],2,FALSE)</f>
        <v>0.2</v>
      </c>
      <c r="M417" s="37">
        <f>Table1[[#This Row],[Jumlah_Unit]]*Table1[[#This Row],[Harga_Satuan]]</f>
        <v>24000000</v>
      </c>
      <c r="N417" s="37">
        <f>Table1[[#This Row],[Total_Pendapatan_Kotor]]*Table1[[#This Row],[Persentase_Diskon]]</f>
        <v>4800000</v>
      </c>
      <c r="O417" s="37">
        <f>Table1[[#This Row],[Total_Pendapatan_Kotor]]-Table1[[#This Row],[Potongan_Diskon]]</f>
        <v>19200000</v>
      </c>
      <c r="P417" s="37">
        <f>(Table1[[#This Row],[Jumlah_Unit]]*Table1[[#This Row],[HPP_Satuan]])+(Table1[[#This Row],[Jumlah_Unit]]*Table1[[#This Row],[Biaya_Kirim_Satuan]])</f>
        <v>17130000</v>
      </c>
      <c r="Q417" s="37">
        <f>Table1[[#This Row],[Total_Pendapatan_Bersih]]-Table1[[#This Row],[Total_Biaya]]</f>
        <v>2070000</v>
      </c>
      <c r="R417" s="5">
        <f>Table1[[#This Row],[Laba_Kotor]]/Table1[[#This Row],[Total_Pendapatan_Bersih]]</f>
        <v>0.10781250000000001</v>
      </c>
    </row>
    <row r="418" spans="1:18" ht="20.25" thickBot="1" x14ac:dyDescent="0.6">
      <c r="A418" s="3" t="s">
        <v>447</v>
      </c>
      <c r="B418" s="21">
        <v>46019</v>
      </c>
      <c r="C418" s="1" t="s">
        <v>19</v>
      </c>
      <c r="D418" s="1" t="s">
        <v>24</v>
      </c>
      <c r="E418" s="2">
        <v>7</v>
      </c>
      <c r="F418" s="1" t="s">
        <v>21</v>
      </c>
      <c r="G418" s="1" t="str">
        <f>INDEX(Table2[Nama Produk],MATCH(Table1[[#This Row],[SKU]],Table2[SKU],0))</f>
        <v>Mechanical Keyboard</v>
      </c>
      <c r="H418" s="1" t="str">
        <f>VLOOKUP(Table1[[#This Row],[SKU]],Table2[],3,FALSE)</f>
        <v>Aksesori</v>
      </c>
      <c r="I418" s="37">
        <f>INDEX(Table2[Harga Jual],MATCH(Table1[[#This Row],[SKU]],Table2[SKU],0))</f>
        <v>850000</v>
      </c>
      <c r="J418" s="37">
        <f>VLOOKUP(Table1[[#This Row],[SKU]],Table2[],4,FALSE)</f>
        <v>450000</v>
      </c>
      <c r="K418" s="37">
        <f>INDEX(Table3[Biaya Kirim per Unit],MATCH(Table1[[#This Row],[Kota]],Table3[Kota],))</f>
        <v>25000</v>
      </c>
      <c r="L418" s="39">
        <f>VLOOKUP(Table1[[#This Row],[Kode_Promo]],Table4[],2,FALSE)</f>
        <v>0.1</v>
      </c>
      <c r="M418" s="37">
        <f>Table1[[#This Row],[Jumlah_Unit]]*Table1[[#This Row],[Harga_Satuan]]</f>
        <v>5950000</v>
      </c>
      <c r="N418" s="37">
        <f>Table1[[#This Row],[Total_Pendapatan_Kotor]]*Table1[[#This Row],[Persentase_Diskon]]</f>
        <v>595000</v>
      </c>
      <c r="O418" s="37">
        <f>Table1[[#This Row],[Total_Pendapatan_Kotor]]-Table1[[#This Row],[Potongan_Diskon]]</f>
        <v>5355000</v>
      </c>
      <c r="P418" s="37">
        <f>(Table1[[#This Row],[Jumlah_Unit]]*Table1[[#This Row],[HPP_Satuan]])+(Table1[[#This Row],[Jumlah_Unit]]*Table1[[#This Row],[Biaya_Kirim_Satuan]])</f>
        <v>3325000</v>
      </c>
      <c r="Q418" s="37">
        <f>Table1[[#This Row],[Total_Pendapatan_Bersih]]-Table1[[#This Row],[Total_Biaya]]</f>
        <v>2030000</v>
      </c>
      <c r="R418" s="5">
        <f>Table1[[#This Row],[Laba_Kotor]]/Table1[[#This Row],[Total_Pendapatan_Bersih]]</f>
        <v>0.37908496732026142</v>
      </c>
    </row>
    <row r="419" spans="1:18" ht="20.25" thickBot="1" x14ac:dyDescent="0.6">
      <c r="A419" s="3" t="s">
        <v>448</v>
      </c>
      <c r="B419" s="21">
        <v>45665</v>
      </c>
      <c r="C419" s="1" t="s">
        <v>23</v>
      </c>
      <c r="D419" s="1" t="s">
        <v>32</v>
      </c>
      <c r="E419" s="2">
        <v>3</v>
      </c>
      <c r="F419" s="1" t="s">
        <v>25</v>
      </c>
      <c r="G419" s="1" t="str">
        <f>INDEX(Table2[Nama Produk],MATCH(Table1[[#This Row],[SKU]],Table2[SKU],0))</f>
        <v>Monitor Ergonomis 27</v>
      </c>
      <c r="H419" s="1" t="str">
        <f>VLOOKUP(Table1[[#This Row],[SKU]],Table2[],3,FALSE)</f>
        <v>Elektronik</v>
      </c>
      <c r="I419" s="37">
        <f>INDEX(Table2[Harga Jual],MATCH(Table1[[#This Row],[SKU]],Table2[SKU],0))</f>
        <v>3400000</v>
      </c>
      <c r="J419" s="37">
        <f>VLOOKUP(Table1[[#This Row],[SKU]],Table2[],4,FALSE)</f>
        <v>2100000</v>
      </c>
      <c r="K419" s="37">
        <f>INDEX(Table3[Biaya Kirim per Unit],MATCH(Table1[[#This Row],[Kota]],Table3[Kota],))</f>
        <v>35000</v>
      </c>
      <c r="L419" s="39">
        <f>VLOOKUP(Table1[[#This Row],[Kode_Promo]],Table4[],2,FALSE)</f>
        <v>0.3</v>
      </c>
      <c r="M419" s="37">
        <f>Table1[[#This Row],[Jumlah_Unit]]*Table1[[#This Row],[Harga_Satuan]]</f>
        <v>10200000</v>
      </c>
      <c r="N419" s="37">
        <f>Table1[[#This Row],[Total_Pendapatan_Kotor]]*Table1[[#This Row],[Persentase_Diskon]]</f>
        <v>3060000</v>
      </c>
      <c r="O419" s="37">
        <f>Table1[[#This Row],[Total_Pendapatan_Kotor]]-Table1[[#This Row],[Potongan_Diskon]]</f>
        <v>7140000</v>
      </c>
      <c r="P419" s="37">
        <f>(Table1[[#This Row],[Jumlah_Unit]]*Table1[[#This Row],[HPP_Satuan]])+(Table1[[#This Row],[Jumlah_Unit]]*Table1[[#This Row],[Biaya_Kirim_Satuan]])</f>
        <v>6405000</v>
      </c>
      <c r="Q419" s="37">
        <f>Table1[[#This Row],[Total_Pendapatan_Bersih]]-Table1[[#This Row],[Total_Biaya]]</f>
        <v>735000</v>
      </c>
      <c r="R419" s="5">
        <f>Table1[[#This Row],[Laba_Kotor]]/Table1[[#This Row],[Total_Pendapatan_Bersih]]</f>
        <v>0.10294117647058823</v>
      </c>
    </row>
    <row r="420" spans="1:18" ht="20.25" thickBot="1" x14ac:dyDescent="0.6">
      <c r="A420" s="3" t="s">
        <v>449</v>
      </c>
      <c r="B420" s="21">
        <v>45672</v>
      </c>
      <c r="C420" s="1" t="s">
        <v>27</v>
      </c>
      <c r="D420" s="1" t="s">
        <v>28</v>
      </c>
      <c r="E420" s="2">
        <v>2</v>
      </c>
      <c r="F420" s="1" t="s">
        <v>29</v>
      </c>
      <c r="G420" s="1" t="str">
        <f>INDEX(Table2[Nama Produk],MATCH(Table1[[#This Row],[SKU]],Table2[SKU],0))</f>
        <v>Kursi Kerja Ergonomis</v>
      </c>
      <c r="H420" s="1" t="str">
        <f>VLOOKUP(Table1[[#This Row],[SKU]],Table2[],3,FALSE)</f>
        <v>Furnitur</v>
      </c>
      <c r="I420" s="37">
        <f>INDEX(Table2[Harga Jual],MATCH(Table1[[#This Row],[SKU]],Table2[SKU],0))</f>
        <v>2100000</v>
      </c>
      <c r="J420" s="37">
        <f>VLOOKUP(Table1[[#This Row],[SKU]],Table2[],4,FALSE)</f>
        <v>1200000</v>
      </c>
      <c r="K420" s="37">
        <f>INDEX(Table3[Biaya Kirim per Unit],MATCH(Table1[[#This Row],[Kota]],Table3[Kota],))</f>
        <v>50000</v>
      </c>
      <c r="L420" s="39">
        <f>VLOOKUP(Table1[[#This Row],[Kode_Promo]],Table4[],2,FALSE)</f>
        <v>0</v>
      </c>
      <c r="M420" s="37">
        <f>Table1[[#This Row],[Jumlah_Unit]]*Table1[[#This Row],[Harga_Satuan]]</f>
        <v>4200000</v>
      </c>
      <c r="N420" s="37">
        <f>Table1[[#This Row],[Total_Pendapatan_Kotor]]*Table1[[#This Row],[Persentase_Diskon]]</f>
        <v>0</v>
      </c>
      <c r="O420" s="37">
        <f>Table1[[#This Row],[Total_Pendapatan_Kotor]]-Table1[[#This Row],[Potongan_Diskon]]</f>
        <v>4200000</v>
      </c>
      <c r="P420" s="37">
        <f>(Table1[[#This Row],[Jumlah_Unit]]*Table1[[#This Row],[HPP_Satuan]])+(Table1[[#This Row],[Jumlah_Unit]]*Table1[[#This Row],[Biaya_Kirim_Satuan]])</f>
        <v>2500000</v>
      </c>
      <c r="Q420" s="37">
        <f>Table1[[#This Row],[Total_Pendapatan_Bersih]]-Table1[[#This Row],[Total_Biaya]]</f>
        <v>1700000</v>
      </c>
      <c r="R420" s="5">
        <f>Table1[[#This Row],[Laba_Kotor]]/Table1[[#This Row],[Total_Pendapatan_Bersih]]</f>
        <v>0.40476190476190477</v>
      </c>
    </row>
    <row r="421" spans="1:18" ht="20.25" thickBot="1" x14ac:dyDescent="0.6">
      <c r="A421" s="3" t="s">
        <v>450</v>
      </c>
      <c r="B421" s="21">
        <v>45679</v>
      </c>
      <c r="C421" s="1" t="s">
        <v>31</v>
      </c>
      <c r="D421" s="1" t="s">
        <v>35</v>
      </c>
      <c r="E421" s="2">
        <v>1</v>
      </c>
      <c r="F421" s="1" t="s">
        <v>33</v>
      </c>
      <c r="G421" s="1" t="str">
        <f>INDEX(Table2[Nama Produk],MATCH(Table1[[#This Row],[SKU]],Table2[SKU],0))</f>
        <v>Meja Adjustable</v>
      </c>
      <c r="H421" s="1" t="str">
        <f>VLOOKUP(Table1[[#This Row],[SKU]],Table2[],3,FALSE)</f>
        <v>Furnitur</v>
      </c>
      <c r="I421" s="37">
        <f>INDEX(Table2[Harga Jual],MATCH(Table1[[#This Row],[SKU]],Table2[SKU],0))</f>
        <v>4200000</v>
      </c>
      <c r="J421" s="37">
        <f>VLOOKUP(Table1[[#This Row],[SKU]],Table2[],4,FALSE)</f>
        <v>2400000</v>
      </c>
      <c r="K421" s="37">
        <f>INDEX(Table3[Biaya Kirim per Unit],MATCH(Table1[[#This Row],[Kota]],Table3[Kota],))</f>
        <v>65000</v>
      </c>
      <c r="L421" s="39">
        <f>VLOOKUP(Table1[[#This Row],[Kode_Promo]],Table4[],2,FALSE)</f>
        <v>0.2</v>
      </c>
      <c r="M421" s="37">
        <f>Table1[[#This Row],[Jumlah_Unit]]*Table1[[#This Row],[Harga_Satuan]]</f>
        <v>4200000</v>
      </c>
      <c r="N421" s="37">
        <f>Table1[[#This Row],[Total_Pendapatan_Kotor]]*Table1[[#This Row],[Persentase_Diskon]]</f>
        <v>840000</v>
      </c>
      <c r="O421" s="37">
        <f>Table1[[#This Row],[Total_Pendapatan_Kotor]]-Table1[[#This Row],[Potongan_Diskon]]</f>
        <v>3360000</v>
      </c>
      <c r="P421" s="37">
        <f>(Table1[[#This Row],[Jumlah_Unit]]*Table1[[#This Row],[HPP_Satuan]])+(Table1[[#This Row],[Jumlah_Unit]]*Table1[[#This Row],[Biaya_Kirim_Satuan]])</f>
        <v>2465000</v>
      </c>
      <c r="Q421" s="37">
        <f>Table1[[#This Row],[Total_Pendapatan_Bersih]]-Table1[[#This Row],[Total_Biaya]]</f>
        <v>895000</v>
      </c>
      <c r="R421" s="5">
        <f>Table1[[#This Row],[Laba_Kotor]]/Table1[[#This Row],[Total_Pendapatan_Bersih]]</f>
        <v>0.26636904761904762</v>
      </c>
    </row>
    <row r="422" spans="1:18" ht="20.25" thickBot="1" x14ac:dyDescent="0.6">
      <c r="A422" s="3" t="s">
        <v>451</v>
      </c>
      <c r="B422" s="21">
        <v>45686</v>
      </c>
      <c r="C422" s="1" t="s">
        <v>19</v>
      </c>
      <c r="D422" s="1" t="s">
        <v>20</v>
      </c>
      <c r="E422" s="2">
        <v>4</v>
      </c>
      <c r="F422" s="1" t="s">
        <v>21</v>
      </c>
      <c r="G422" s="1" t="str">
        <f>INDEX(Table2[Nama Produk],MATCH(Table1[[#This Row],[SKU]],Table2[SKU],0))</f>
        <v>Laptop Pro 14</v>
      </c>
      <c r="H422" s="1" t="str">
        <f>VLOOKUP(Table1[[#This Row],[SKU]],Table2[],3,FALSE)</f>
        <v>Elektronik</v>
      </c>
      <c r="I422" s="37">
        <f>INDEX(Table2[Harga Jual],MATCH(Table1[[#This Row],[SKU]],Table2[SKU],0))</f>
        <v>12000000</v>
      </c>
      <c r="J422" s="37">
        <f>VLOOKUP(Table1[[#This Row],[SKU]],Table2[],4,FALSE)</f>
        <v>8500000</v>
      </c>
      <c r="K422" s="37">
        <f>INDEX(Table3[Biaya Kirim per Unit],MATCH(Table1[[#This Row],[Kota]],Table3[Kota],))</f>
        <v>25000</v>
      </c>
      <c r="L422" s="39">
        <f>VLOOKUP(Table1[[#This Row],[Kode_Promo]],Table4[],2,FALSE)</f>
        <v>0.1</v>
      </c>
      <c r="M422" s="37">
        <f>Table1[[#This Row],[Jumlah_Unit]]*Table1[[#This Row],[Harga_Satuan]]</f>
        <v>48000000</v>
      </c>
      <c r="N422" s="37">
        <f>Table1[[#This Row],[Total_Pendapatan_Kotor]]*Table1[[#This Row],[Persentase_Diskon]]</f>
        <v>4800000</v>
      </c>
      <c r="O422" s="37">
        <f>Table1[[#This Row],[Total_Pendapatan_Kotor]]-Table1[[#This Row],[Potongan_Diskon]]</f>
        <v>43200000</v>
      </c>
      <c r="P422" s="37">
        <f>(Table1[[#This Row],[Jumlah_Unit]]*Table1[[#This Row],[HPP_Satuan]])+(Table1[[#This Row],[Jumlah_Unit]]*Table1[[#This Row],[Biaya_Kirim_Satuan]])</f>
        <v>34100000</v>
      </c>
      <c r="Q422" s="37">
        <f>Table1[[#This Row],[Total_Pendapatan_Bersih]]-Table1[[#This Row],[Total_Biaya]]</f>
        <v>9100000</v>
      </c>
      <c r="R422" s="5">
        <f>Table1[[#This Row],[Laba_Kotor]]/Table1[[#This Row],[Total_Pendapatan_Bersih]]</f>
        <v>0.21064814814814814</v>
      </c>
    </row>
    <row r="423" spans="1:18" ht="20.25" thickBot="1" x14ac:dyDescent="0.6">
      <c r="A423" s="3" t="s">
        <v>452</v>
      </c>
      <c r="B423" s="21">
        <v>45693</v>
      </c>
      <c r="C423" s="1" t="s">
        <v>23</v>
      </c>
      <c r="D423" s="1" t="s">
        <v>24</v>
      </c>
      <c r="E423" s="2">
        <v>6</v>
      </c>
      <c r="F423" s="1" t="s">
        <v>25</v>
      </c>
      <c r="G423" s="1" t="str">
        <f>INDEX(Table2[Nama Produk],MATCH(Table1[[#This Row],[SKU]],Table2[SKU],0))</f>
        <v>Mechanical Keyboard</v>
      </c>
      <c r="H423" s="1" t="str">
        <f>VLOOKUP(Table1[[#This Row],[SKU]],Table2[],3,FALSE)</f>
        <v>Aksesori</v>
      </c>
      <c r="I423" s="37">
        <f>INDEX(Table2[Harga Jual],MATCH(Table1[[#This Row],[SKU]],Table2[SKU],0))</f>
        <v>850000</v>
      </c>
      <c r="J423" s="37">
        <f>VLOOKUP(Table1[[#This Row],[SKU]],Table2[],4,FALSE)</f>
        <v>450000</v>
      </c>
      <c r="K423" s="37">
        <f>INDEX(Table3[Biaya Kirim per Unit],MATCH(Table1[[#This Row],[Kota]],Table3[Kota],))</f>
        <v>35000</v>
      </c>
      <c r="L423" s="39">
        <f>VLOOKUP(Table1[[#This Row],[Kode_Promo]],Table4[],2,FALSE)</f>
        <v>0.3</v>
      </c>
      <c r="M423" s="37">
        <f>Table1[[#This Row],[Jumlah_Unit]]*Table1[[#This Row],[Harga_Satuan]]</f>
        <v>5100000</v>
      </c>
      <c r="N423" s="37">
        <f>Table1[[#This Row],[Total_Pendapatan_Kotor]]*Table1[[#This Row],[Persentase_Diskon]]</f>
        <v>1530000</v>
      </c>
      <c r="O423" s="37">
        <f>Table1[[#This Row],[Total_Pendapatan_Kotor]]-Table1[[#This Row],[Potongan_Diskon]]</f>
        <v>3570000</v>
      </c>
      <c r="P423" s="37">
        <f>(Table1[[#This Row],[Jumlah_Unit]]*Table1[[#This Row],[HPP_Satuan]])+(Table1[[#This Row],[Jumlah_Unit]]*Table1[[#This Row],[Biaya_Kirim_Satuan]])</f>
        <v>2910000</v>
      </c>
      <c r="Q423" s="37">
        <f>Table1[[#This Row],[Total_Pendapatan_Bersih]]-Table1[[#This Row],[Total_Biaya]]</f>
        <v>660000</v>
      </c>
      <c r="R423" s="5">
        <f>Table1[[#This Row],[Laba_Kotor]]/Table1[[#This Row],[Total_Pendapatan_Bersih]]</f>
        <v>0.18487394957983194</v>
      </c>
    </row>
    <row r="424" spans="1:18" ht="20.25" thickBot="1" x14ac:dyDescent="0.6">
      <c r="A424" s="3" t="s">
        <v>453</v>
      </c>
      <c r="B424" s="21">
        <v>45700</v>
      </c>
      <c r="C424" s="1" t="s">
        <v>27</v>
      </c>
      <c r="D424" s="1" t="s">
        <v>32</v>
      </c>
      <c r="E424" s="2">
        <v>2</v>
      </c>
      <c r="F424" s="1" t="s">
        <v>29</v>
      </c>
      <c r="G424" s="1" t="str">
        <f>INDEX(Table2[Nama Produk],MATCH(Table1[[#This Row],[SKU]],Table2[SKU],0))</f>
        <v>Monitor Ergonomis 27</v>
      </c>
      <c r="H424" s="1" t="str">
        <f>VLOOKUP(Table1[[#This Row],[SKU]],Table2[],3,FALSE)</f>
        <v>Elektronik</v>
      </c>
      <c r="I424" s="37">
        <f>INDEX(Table2[Harga Jual],MATCH(Table1[[#This Row],[SKU]],Table2[SKU],0))</f>
        <v>3400000</v>
      </c>
      <c r="J424" s="37">
        <f>VLOOKUP(Table1[[#This Row],[SKU]],Table2[],4,FALSE)</f>
        <v>2100000</v>
      </c>
      <c r="K424" s="37">
        <f>INDEX(Table3[Biaya Kirim per Unit],MATCH(Table1[[#This Row],[Kota]],Table3[Kota],))</f>
        <v>50000</v>
      </c>
      <c r="L424" s="39">
        <f>VLOOKUP(Table1[[#This Row],[Kode_Promo]],Table4[],2,FALSE)</f>
        <v>0</v>
      </c>
      <c r="M424" s="37">
        <f>Table1[[#This Row],[Jumlah_Unit]]*Table1[[#This Row],[Harga_Satuan]]</f>
        <v>6800000</v>
      </c>
      <c r="N424" s="37">
        <f>Table1[[#This Row],[Total_Pendapatan_Kotor]]*Table1[[#This Row],[Persentase_Diskon]]</f>
        <v>0</v>
      </c>
      <c r="O424" s="37">
        <f>Table1[[#This Row],[Total_Pendapatan_Kotor]]-Table1[[#This Row],[Potongan_Diskon]]</f>
        <v>6800000</v>
      </c>
      <c r="P424" s="37">
        <f>(Table1[[#This Row],[Jumlah_Unit]]*Table1[[#This Row],[HPP_Satuan]])+(Table1[[#This Row],[Jumlah_Unit]]*Table1[[#This Row],[Biaya_Kirim_Satuan]])</f>
        <v>4300000</v>
      </c>
      <c r="Q424" s="37">
        <f>Table1[[#This Row],[Total_Pendapatan_Bersih]]-Table1[[#This Row],[Total_Biaya]]</f>
        <v>2500000</v>
      </c>
      <c r="R424" s="5">
        <f>Table1[[#This Row],[Laba_Kotor]]/Table1[[#This Row],[Total_Pendapatan_Bersih]]</f>
        <v>0.36764705882352944</v>
      </c>
    </row>
    <row r="425" spans="1:18" ht="20.25" thickBot="1" x14ac:dyDescent="0.6">
      <c r="A425" s="3" t="s">
        <v>454</v>
      </c>
      <c r="B425" s="21">
        <v>45707</v>
      </c>
      <c r="C425" s="1" t="s">
        <v>31</v>
      </c>
      <c r="D425" s="1" t="s">
        <v>28</v>
      </c>
      <c r="E425" s="2">
        <v>5</v>
      </c>
      <c r="F425" s="1" t="s">
        <v>33</v>
      </c>
      <c r="G425" s="1" t="str">
        <f>INDEX(Table2[Nama Produk],MATCH(Table1[[#This Row],[SKU]],Table2[SKU],0))</f>
        <v>Kursi Kerja Ergonomis</v>
      </c>
      <c r="H425" s="1" t="str">
        <f>VLOOKUP(Table1[[#This Row],[SKU]],Table2[],3,FALSE)</f>
        <v>Furnitur</v>
      </c>
      <c r="I425" s="37">
        <f>INDEX(Table2[Harga Jual],MATCH(Table1[[#This Row],[SKU]],Table2[SKU],0))</f>
        <v>2100000</v>
      </c>
      <c r="J425" s="37">
        <f>VLOOKUP(Table1[[#This Row],[SKU]],Table2[],4,FALSE)</f>
        <v>1200000</v>
      </c>
      <c r="K425" s="37">
        <f>INDEX(Table3[Biaya Kirim per Unit],MATCH(Table1[[#This Row],[Kota]],Table3[Kota],))</f>
        <v>65000</v>
      </c>
      <c r="L425" s="39">
        <f>VLOOKUP(Table1[[#This Row],[Kode_Promo]],Table4[],2,FALSE)</f>
        <v>0.2</v>
      </c>
      <c r="M425" s="37">
        <f>Table1[[#This Row],[Jumlah_Unit]]*Table1[[#This Row],[Harga_Satuan]]</f>
        <v>10500000</v>
      </c>
      <c r="N425" s="37">
        <f>Table1[[#This Row],[Total_Pendapatan_Kotor]]*Table1[[#This Row],[Persentase_Diskon]]</f>
        <v>2100000</v>
      </c>
      <c r="O425" s="37">
        <f>Table1[[#This Row],[Total_Pendapatan_Kotor]]-Table1[[#This Row],[Potongan_Diskon]]</f>
        <v>8400000</v>
      </c>
      <c r="P425" s="37">
        <f>(Table1[[#This Row],[Jumlah_Unit]]*Table1[[#This Row],[HPP_Satuan]])+(Table1[[#This Row],[Jumlah_Unit]]*Table1[[#This Row],[Biaya_Kirim_Satuan]])</f>
        <v>6325000</v>
      </c>
      <c r="Q425" s="37">
        <f>Table1[[#This Row],[Total_Pendapatan_Bersih]]-Table1[[#This Row],[Total_Biaya]]</f>
        <v>2075000</v>
      </c>
      <c r="R425" s="5">
        <f>Table1[[#This Row],[Laba_Kotor]]/Table1[[#This Row],[Total_Pendapatan_Bersih]]</f>
        <v>0.24702380952380953</v>
      </c>
    </row>
    <row r="426" spans="1:18" ht="20.25" thickBot="1" x14ac:dyDescent="0.6">
      <c r="A426" s="3" t="s">
        <v>455</v>
      </c>
      <c r="B426" s="21">
        <v>45714</v>
      </c>
      <c r="C426" s="1" t="s">
        <v>19</v>
      </c>
      <c r="D426" s="1" t="s">
        <v>35</v>
      </c>
      <c r="E426" s="2">
        <v>2</v>
      </c>
      <c r="F426" s="1" t="s">
        <v>21</v>
      </c>
      <c r="G426" s="1" t="str">
        <f>INDEX(Table2[Nama Produk],MATCH(Table1[[#This Row],[SKU]],Table2[SKU],0))</f>
        <v>Meja Adjustable</v>
      </c>
      <c r="H426" s="1" t="str">
        <f>VLOOKUP(Table1[[#This Row],[SKU]],Table2[],3,FALSE)</f>
        <v>Furnitur</v>
      </c>
      <c r="I426" s="37">
        <f>INDEX(Table2[Harga Jual],MATCH(Table1[[#This Row],[SKU]],Table2[SKU],0))</f>
        <v>4200000</v>
      </c>
      <c r="J426" s="37">
        <f>VLOOKUP(Table1[[#This Row],[SKU]],Table2[],4,FALSE)</f>
        <v>2400000</v>
      </c>
      <c r="K426" s="37">
        <f>INDEX(Table3[Biaya Kirim per Unit],MATCH(Table1[[#This Row],[Kota]],Table3[Kota],))</f>
        <v>25000</v>
      </c>
      <c r="L426" s="39">
        <f>VLOOKUP(Table1[[#This Row],[Kode_Promo]],Table4[],2,FALSE)</f>
        <v>0.1</v>
      </c>
      <c r="M426" s="37">
        <f>Table1[[#This Row],[Jumlah_Unit]]*Table1[[#This Row],[Harga_Satuan]]</f>
        <v>8400000</v>
      </c>
      <c r="N426" s="37">
        <f>Table1[[#This Row],[Total_Pendapatan_Kotor]]*Table1[[#This Row],[Persentase_Diskon]]</f>
        <v>840000</v>
      </c>
      <c r="O426" s="37">
        <f>Table1[[#This Row],[Total_Pendapatan_Kotor]]-Table1[[#This Row],[Potongan_Diskon]]</f>
        <v>7560000</v>
      </c>
      <c r="P426" s="37">
        <f>(Table1[[#This Row],[Jumlah_Unit]]*Table1[[#This Row],[HPP_Satuan]])+(Table1[[#This Row],[Jumlah_Unit]]*Table1[[#This Row],[Biaya_Kirim_Satuan]])</f>
        <v>4850000</v>
      </c>
      <c r="Q426" s="37">
        <f>Table1[[#This Row],[Total_Pendapatan_Bersih]]-Table1[[#This Row],[Total_Biaya]]</f>
        <v>2710000</v>
      </c>
      <c r="R426" s="5">
        <f>Table1[[#This Row],[Laba_Kotor]]/Table1[[#This Row],[Total_Pendapatan_Bersih]]</f>
        <v>0.35846560846560849</v>
      </c>
    </row>
    <row r="427" spans="1:18" ht="20.25" thickBot="1" x14ac:dyDescent="0.6">
      <c r="A427" s="3" t="s">
        <v>456</v>
      </c>
      <c r="B427" s="21">
        <v>45721</v>
      </c>
      <c r="C427" s="1" t="s">
        <v>23</v>
      </c>
      <c r="D427" s="1" t="s">
        <v>20</v>
      </c>
      <c r="E427" s="2">
        <v>1</v>
      </c>
      <c r="F427" s="1" t="s">
        <v>29</v>
      </c>
      <c r="G427" s="1" t="str">
        <f>INDEX(Table2[Nama Produk],MATCH(Table1[[#This Row],[SKU]],Table2[SKU],0))</f>
        <v>Laptop Pro 14</v>
      </c>
      <c r="H427" s="1" t="str">
        <f>VLOOKUP(Table1[[#This Row],[SKU]],Table2[],3,FALSE)</f>
        <v>Elektronik</v>
      </c>
      <c r="I427" s="37">
        <f>INDEX(Table2[Harga Jual],MATCH(Table1[[#This Row],[SKU]],Table2[SKU],0))</f>
        <v>12000000</v>
      </c>
      <c r="J427" s="37">
        <f>VLOOKUP(Table1[[#This Row],[SKU]],Table2[],4,FALSE)</f>
        <v>8500000</v>
      </c>
      <c r="K427" s="37">
        <f>INDEX(Table3[Biaya Kirim per Unit],MATCH(Table1[[#This Row],[Kota]],Table3[Kota],))</f>
        <v>35000</v>
      </c>
      <c r="L427" s="39">
        <f>VLOOKUP(Table1[[#This Row],[Kode_Promo]],Table4[],2,FALSE)</f>
        <v>0</v>
      </c>
      <c r="M427" s="37">
        <f>Table1[[#This Row],[Jumlah_Unit]]*Table1[[#This Row],[Harga_Satuan]]</f>
        <v>12000000</v>
      </c>
      <c r="N427" s="37">
        <f>Table1[[#This Row],[Total_Pendapatan_Kotor]]*Table1[[#This Row],[Persentase_Diskon]]</f>
        <v>0</v>
      </c>
      <c r="O427" s="37">
        <f>Table1[[#This Row],[Total_Pendapatan_Kotor]]-Table1[[#This Row],[Potongan_Diskon]]</f>
        <v>12000000</v>
      </c>
      <c r="P427" s="37">
        <f>(Table1[[#This Row],[Jumlah_Unit]]*Table1[[#This Row],[HPP_Satuan]])+(Table1[[#This Row],[Jumlah_Unit]]*Table1[[#This Row],[Biaya_Kirim_Satuan]])</f>
        <v>8535000</v>
      </c>
      <c r="Q427" s="37">
        <f>Table1[[#This Row],[Total_Pendapatan_Bersih]]-Table1[[#This Row],[Total_Biaya]]</f>
        <v>3465000</v>
      </c>
      <c r="R427" s="5">
        <f>Table1[[#This Row],[Laba_Kotor]]/Table1[[#This Row],[Total_Pendapatan_Bersih]]</f>
        <v>0.28875000000000001</v>
      </c>
    </row>
    <row r="428" spans="1:18" ht="20.25" thickBot="1" x14ac:dyDescent="0.6">
      <c r="A428" s="3" t="s">
        <v>457</v>
      </c>
      <c r="B428" s="21">
        <v>45728</v>
      </c>
      <c r="C428" s="1" t="s">
        <v>27</v>
      </c>
      <c r="D428" s="1" t="s">
        <v>24</v>
      </c>
      <c r="E428" s="2">
        <v>7</v>
      </c>
      <c r="F428" s="1" t="s">
        <v>25</v>
      </c>
      <c r="G428" s="1" t="str">
        <f>INDEX(Table2[Nama Produk],MATCH(Table1[[#This Row],[SKU]],Table2[SKU],0))</f>
        <v>Mechanical Keyboard</v>
      </c>
      <c r="H428" s="1" t="str">
        <f>VLOOKUP(Table1[[#This Row],[SKU]],Table2[],3,FALSE)</f>
        <v>Aksesori</v>
      </c>
      <c r="I428" s="37">
        <f>INDEX(Table2[Harga Jual],MATCH(Table1[[#This Row],[SKU]],Table2[SKU],0))</f>
        <v>850000</v>
      </c>
      <c r="J428" s="37">
        <f>VLOOKUP(Table1[[#This Row],[SKU]],Table2[],4,FALSE)</f>
        <v>450000</v>
      </c>
      <c r="K428" s="37">
        <f>INDEX(Table3[Biaya Kirim per Unit],MATCH(Table1[[#This Row],[Kota]],Table3[Kota],))</f>
        <v>50000</v>
      </c>
      <c r="L428" s="39">
        <f>VLOOKUP(Table1[[#This Row],[Kode_Promo]],Table4[],2,FALSE)</f>
        <v>0.3</v>
      </c>
      <c r="M428" s="37">
        <f>Table1[[#This Row],[Jumlah_Unit]]*Table1[[#This Row],[Harga_Satuan]]</f>
        <v>5950000</v>
      </c>
      <c r="N428" s="37">
        <f>Table1[[#This Row],[Total_Pendapatan_Kotor]]*Table1[[#This Row],[Persentase_Diskon]]</f>
        <v>1785000</v>
      </c>
      <c r="O428" s="37">
        <f>Table1[[#This Row],[Total_Pendapatan_Kotor]]-Table1[[#This Row],[Potongan_Diskon]]</f>
        <v>4165000</v>
      </c>
      <c r="P428" s="37">
        <f>(Table1[[#This Row],[Jumlah_Unit]]*Table1[[#This Row],[HPP_Satuan]])+(Table1[[#This Row],[Jumlah_Unit]]*Table1[[#This Row],[Biaya_Kirim_Satuan]])</f>
        <v>3500000</v>
      </c>
      <c r="Q428" s="37">
        <f>Table1[[#This Row],[Total_Pendapatan_Bersih]]-Table1[[#This Row],[Total_Biaya]]</f>
        <v>665000</v>
      </c>
      <c r="R428" s="5">
        <f>Table1[[#This Row],[Laba_Kotor]]/Table1[[#This Row],[Total_Pendapatan_Bersih]]</f>
        <v>0.15966386554621848</v>
      </c>
    </row>
    <row r="429" spans="1:18" ht="20.25" thickBot="1" x14ac:dyDescent="0.6">
      <c r="A429" s="3" t="s">
        <v>458</v>
      </c>
      <c r="B429" s="21">
        <v>45735</v>
      </c>
      <c r="C429" s="1" t="s">
        <v>31</v>
      </c>
      <c r="D429" s="1" t="s">
        <v>32</v>
      </c>
      <c r="E429" s="2">
        <v>4</v>
      </c>
      <c r="F429" s="1" t="s">
        <v>33</v>
      </c>
      <c r="G429" s="1" t="str">
        <f>INDEX(Table2[Nama Produk],MATCH(Table1[[#This Row],[SKU]],Table2[SKU],0))</f>
        <v>Monitor Ergonomis 27</v>
      </c>
      <c r="H429" s="1" t="str">
        <f>VLOOKUP(Table1[[#This Row],[SKU]],Table2[],3,FALSE)</f>
        <v>Elektronik</v>
      </c>
      <c r="I429" s="37">
        <f>INDEX(Table2[Harga Jual],MATCH(Table1[[#This Row],[SKU]],Table2[SKU],0))</f>
        <v>3400000</v>
      </c>
      <c r="J429" s="37">
        <f>VLOOKUP(Table1[[#This Row],[SKU]],Table2[],4,FALSE)</f>
        <v>2100000</v>
      </c>
      <c r="K429" s="37">
        <f>INDEX(Table3[Biaya Kirim per Unit],MATCH(Table1[[#This Row],[Kota]],Table3[Kota],))</f>
        <v>65000</v>
      </c>
      <c r="L429" s="39">
        <f>VLOOKUP(Table1[[#This Row],[Kode_Promo]],Table4[],2,FALSE)</f>
        <v>0.2</v>
      </c>
      <c r="M429" s="37">
        <f>Table1[[#This Row],[Jumlah_Unit]]*Table1[[#This Row],[Harga_Satuan]]</f>
        <v>13600000</v>
      </c>
      <c r="N429" s="37">
        <f>Table1[[#This Row],[Total_Pendapatan_Kotor]]*Table1[[#This Row],[Persentase_Diskon]]</f>
        <v>2720000</v>
      </c>
      <c r="O429" s="37">
        <f>Table1[[#This Row],[Total_Pendapatan_Kotor]]-Table1[[#This Row],[Potongan_Diskon]]</f>
        <v>10880000</v>
      </c>
      <c r="P429" s="37">
        <f>(Table1[[#This Row],[Jumlah_Unit]]*Table1[[#This Row],[HPP_Satuan]])+(Table1[[#This Row],[Jumlah_Unit]]*Table1[[#This Row],[Biaya_Kirim_Satuan]])</f>
        <v>8660000</v>
      </c>
      <c r="Q429" s="37">
        <f>Table1[[#This Row],[Total_Pendapatan_Bersih]]-Table1[[#This Row],[Total_Biaya]]</f>
        <v>2220000</v>
      </c>
      <c r="R429" s="5">
        <f>Table1[[#This Row],[Laba_Kotor]]/Table1[[#This Row],[Total_Pendapatan_Bersih]]</f>
        <v>0.20404411764705882</v>
      </c>
    </row>
    <row r="430" spans="1:18" ht="20.25" thickBot="1" x14ac:dyDescent="0.6">
      <c r="A430" s="3" t="s">
        <v>459</v>
      </c>
      <c r="B430" s="21">
        <v>45742</v>
      </c>
      <c r="C430" s="1" t="s">
        <v>19</v>
      </c>
      <c r="D430" s="1" t="s">
        <v>28</v>
      </c>
      <c r="E430" s="2">
        <v>3</v>
      </c>
      <c r="F430" s="1" t="s">
        <v>21</v>
      </c>
      <c r="G430" s="1" t="str">
        <f>INDEX(Table2[Nama Produk],MATCH(Table1[[#This Row],[SKU]],Table2[SKU],0))</f>
        <v>Kursi Kerja Ergonomis</v>
      </c>
      <c r="H430" s="1" t="str">
        <f>VLOOKUP(Table1[[#This Row],[SKU]],Table2[],3,FALSE)</f>
        <v>Furnitur</v>
      </c>
      <c r="I430" s="37">
        <f>INDEX(Table2[Harga Jual],MATCH(Table1[[#This Row],[SKU]],Table2[SKU],0))</f>
        <v>2100000</v>
      </c>
      <c r="J430" s="37">
        <f>VLOOKUP(Table1[[#This Row],[SKU]],Table2[],4,FALSE)</f>
        <v>1200000</v>
      </c>
      <c r="K430" s="37">
        <f>INDEX(Table3[Biaya Kirim per Unit],MATCH(Table1[[#This Row],[Kota]],Table3[Kota],))</f>
        <v>25000</v>
      </c>
      <c r="L430" s="39">
        <f>VLOOKUP(Table1[[#This Row],[Kode_Promo]],Table4[],2,FALSE)</f>
        <v>0.1</v>
      </c>
      <c r="M430" s="37">
        <f>Table1[[#This Row],[Jumlah_Unit]]*Table1[[#This Row],[Harga_Satuan]]</f>
        <v>6300000</v>
      </c>
      <c r="N430" s="37">
        <f>Table1[[#This Row],[Total_Pendapatan_Kotor]]*Table1[[#This Row],[Persentase_Diskon]]</f>
        <v>630000</v>
      </c>
      <c r="O430" s="37">
        <f>Table1[[#This Row],[Total_Pendapatan_Kotor]]-Table1[[#This Row],[Potongan_Diskon]]</f>
        <v>5670000</v>
      </c>
      <c r="P430" s="37">
        <f>(Table1[[#This Row],[Jumlah_Unit]]*Table1[[#This Row],[HPP_Satuan]])+(Table1[[#This Row],[Jumlah_Unit]]*Table1[[#This Row],[Biaya_Kirim_Satuan]])</f>
        <v>3675000</v>
      </c>
      <c r="Q430" s="37">
        <f>Table1[[#This Row],[Total_Pendapatan_Bersih]]-Table1[[#This Row],[Total_Biaya]]</f>
        <v>1995000</v>
      </c>
      <c r="R430" s="5">
        <f>Table1[[#This Row],[Laba_Kotor]]/Table1[[#This Row],[Total_Pendapatan_Bersih]]</f>
        <v>0.35185185185185186</v>
      </c>
    </row>
    <row r="431" spans="1:18" ht="20.25" thickBot="1" x14ac:dyDescent="0.6">
      <c r="A431" s="3" t="s">
        <v>460</v>
      </c>
      <c r="B431" s="21">
        <v>45749</v>
      </c>
      <c r="C431" s="1" t="s">
        <v>23</v>
      </c>
      <c r="D431" s="1" t="s">
        <v>35</v>
      </c>
      <c r="E431" s="2">
        <v>2</v>
      </c>
      <c r="F431" s="1" t="s">
        <v>25</v>
      </c>
      <c r="G431" s="1" t="str">
        <f>INDEX(Table2[Nama Produk],MATCH(Table1[[#This Row],[SKU]],Table2[SKU],0))</f>
        <v>Meja Adjustable</v>
      </c>
      <c r="H431" s="1" t="str">
        <f>VLOOKUP(Table1[[#This Row],[SKU]],Table2[],3,FALSE)</f>
        <v>Furnitur</v>
      </c>
      <c r="I431" s="37">
        <f>INDEX(Table2[Harga Jual],MATCH(Table1[[#This Row],[SKU]],Table2[SKU],0))</f>
        <v>4200000</v>
      </c>
      <c r="J431" s="37">
        <f>VLOOKUP(Table1[[#This Row],[SKU]],Table2[],4,FALSE)</f>
        <v>2400000</v>
      </c>
      <c r="K431" s="37">
        <f>INDEX(Table3[Biaya Kirim per Unit],MATCH(Table1[[#This Row],[Kota]],Table3[Kota],))</f>
        <v>35000</v>
      </c>
      <c r="L431" s="39">
        <f>VLOOKUP(Table1[[#This Row],[Kode_Promo]],Table4[],2,FALSE)</f>
        <v>0.3</v>
      </c>
      <c r="M431" s="37">
        <f>Table1[[#This Row],[Jumlah_Unit]]*Table1[[#This Row],[Harga_Satuan]]</f>
        <v>8400000</v>
      </c>
      <c r="N431" s="37">
        <f>Table1[[#This Row],[Total_Pendapatan_Kotor]]*Table1[[#This Row],[Persentase_Diskon]]</f>
        <v>2520000</v>
      </c>
      <c r="O431" s="37">
        <f>Table1[[#This Row],[Total_Pendapatan_Kotor]]-Table1[[#This Row],[Potongan_Diskon]]</f>
        <v>5880000</v>
      </c>
      <c r="P431" s="37">
        <f>(Table1[[#This Row],[Jumlah_Unit]]*Table1[[#This Row],[HPP_Satuan]])+(Table1[[#This Row],[Jumlah_Unit]]*Table1[[#This Row],[Biaya_Kirim_Satuan]])</f>
        <v>4870000</v>
      </c>
      <c r="Q431" s="37">
        <f>Table1[[#This Row],[Total_Pendapatan_Bersih]]-Table1[[#This Row],[Total_Biaya]]</f>
        <v>1010000</v>
      </c>
      <c r="R431" s="5">
        <f>Table1[[#This Row],[Laba_Kotor]]/Table1[[#This Row],[Total_Pendapatan_Bersih]]</f>
        <v>0.17176870748299319</v>
      </c>
    </row>
    <row r="432" spans="1:18" ht="20.25" thickBot="1" x14ac:dyDescent="0.6">
      <c r="A432" s="3" t="s">
        <v>461</v>
      </c>
      <c r="B432" s="21">
        <v>45756</v>
      </c>
      <c r="C432" s="1" t="s">
        <v>27</v>
      </c>
      <c r="D432" s="1" t="s">
        <v>20</v>
      </c>
      <c r="E432" s="2">
        <v>3</v>
      </c>
      <c r="F432" s="1" t="s">
        <v>29</v>
      </c>
      <c r="G432" s="1" t="str">
        <f>INDEX(Table2[Nama Produk],MATCH(Table1[[#This Row],[SKU]],Table2[SKU],0))</f>
        <v>Laptop Pro 14</v>
      </c>
      <c r="H432" s="1" t="str">
        <f>VLOOKUP(Table1[[#This Row],[SKU]],Table2[],3,FALSE)</f>
        <v>Elektronik</v>
      </c>
      <c r="I432" s="37">
        <f>INDEX(Table2[Harga Jual],MATCH(Table1[[#This Row],[SKU]],Table2[SKU],0))</f>
        <v>12000000</v>
      </c>
      <c r="J432" s="37">
        <f>VLOOKUP(Table1[[#This Row],[SKU]],Table2[],4,FALSE)</f>
        <v>8500000</v>
      </c>
      <c r="K432" s="37">
        <f>INDEX(Table3[Biaya Kirim per Unit],MATCH(Table1[[#This Row],[Kota]],Table3[Kota],))</f>
        <v>50000</v>
      </c>
      <c r="L432" s="39">
        <f>VLOOKUP(Table1[[#This Row],[Kode_Promo]],Table4[],2,FALSE)</f>
        <v>0</v>
      </c>
      <c r="M432" s="37">
        <f>Table1[[#This Row],[Jumlah_Unit]]*Table1[[#This Row],[Harga_Satuan]]</f>
        <v>36000000</v>
      </c>
      <c r="N432" s="37">
        <f>Table1[[#This Row],[Total_Pendapatan_Kotor]]*Table1[[#This Row],[Persentase_Diskon]]</f>
        <v>0</v>
      </c>
      <c r="O432" s="37">
        <f>Table1[[#This Row],[Total_Pendapatan_Kotor]]-Table1[[#This Row],[Potongan_Diskon]]</f>
        <v>36000000</v>
      </c>
      <c r="P432" s="37">
        <f>(Table1[[#This Row],[Jumlah_Unit]]*Table1[[#This Row],[HPP_Satuan]])+(Table1[[#This Row],[Jumlah_Unit]]*Table1[[#This Row],[Biaya_Kirim_Satuan]])</f>
        <v>25650000</v>
      </c>
      <c r="Q432" s="37">
        <f>Table1[[#This Row],[Total_Pendapatan_Bersih]]-Table1[[#This Row],[Total_Biaya]]</f>
        <v>10350000</v>
      </c>
      <c r="R432" s="5">
        <f>Table1[[#This Row],[Laba_Kotor]]/Table1[[#This Row],[Total_Pendapatan_Bersih]]</f>
        <v>0.28749999999999998</v>
      </c>
    </row>
    <row r="433" spans="1:18" ht="20.25" thickBot="1" x14ac:dyDescent="0.6">
      <c r="A433" s="3" t="s">
        <v>462</v>
      </c>
      <c r="B433" s="21">
        <v>45763</v>
      </c>
      <c r="C433" s="1" t="s">
        <v>31</v>
      </c>
      <c r="D433" s="1" t="s">
        <v>24</v>
      </c>
      <c r="E433" s="2">
        <v>5</v>
      </c>
      <c r="F433" s="1" t="s">
        <v>33</v>
      </c>
      <c r="G433" s="1" t="str">
        <f>INDEX(Table2[Nama Produk],MATCH(Table1[[#This Row],[SKU]],Table2[SKU],0))</f>
        <v>Mechanical Keyboard</v>
      </c>
      <c r="H433" s="1" t="str">
        <f>VLOOKUP(Table1[[#This Row],[SKU]],Table2[],3,FALSE)</f>
        <v>Aksesori</v>
      </c>
      <c r="I433" s="37">
        <f>INDEX(Table2[Harga Jual],MATCH(Table1[[#This Row],[SKU]],Table2[SKU],0))</f>
        <v>850000</v>
      </c>
      <c r="J433" s="37">
        <f>VLOOKUP(Table1[[#This Row],[SKU]],Table2[],4,FALSE)</f>
        <v>450000</v>
      </c>
      <c r="K433" s="37">
        <f>INDEX(Table3[Biaya Kirim per Unit],MATCH(Table1[[#This Row],[Kota]],Table3[Kota],))</f>
        <v>65000</v>
      </c>
      <c r="L433" s="39">
        <f>VLOOKUP(Table1[[#This Row],[Kode_Promo]],Table4[],2,FALSE)</f>
        <v>0.2</v>
      </c>
      <c r="M433" s="37">
        <f>Table1[[#This Row],[Jumlah_Unit]]*Table1[[#This Row],[Harga_Satuan]]</f>
        <v>4250000</v>
      </c>
      <c r="N433" s="37">
        <f>Table1[[#This Row],[Total_Pendapatan_Kotor]]*Table1[[#This Row],[Persentase_Diskon]]</f>
        <v>850000</v>
      </c>
      <c r="O433" s="37">
        <f>Table1[[#This Row],[Total_Pendapatan_Kotor]]-Table1[[#This Row],[Potongan_Diskon]]</f>
        <v>3400000</v>
      </c>
      <c r="P433" s="37">
        <f>(Table1[[#This Row],[Jumlah_Unit]]*Table1[[#This Row],[HPP_Satuan]])+(Table1[[#This Row],[Jumlah_Unit]]*Table1[[#This Row],[Biaya_Kirim_Satuan]])</f>
        <v>2575000</v>
      </c>
      <c r="Q433" s="37">
        <f>Table1[[#This Row],[Total_Pendapatan_Bersih]]-Table1[[#This Row],[Total_Biaya]]</f>
        <v>825000</v>
      </c>
      <c r="R433" s="5">
        <f>Table1[[#This Row],[Laba_Kotor]]/Table1[[#This Row],[Total_Pendapatan_Bersih]]</f>
        <v>0.24264705882352941</v>
      </c>
    </row>
    <row r="434" spans="1:18" ht="20.25" thickBot="1" x14ac:dyDescent="0.6">
      <c r="A434" s="3" t="s">
        <v>463</v>
      </c>
      <c r="B434" s="21">
        <v>45770</v>
      </c>
      <c r="C434" s="1" t="s">
        <v>19</v>
      </c>
      <c r="D434" s="1" t="s">
        <v>32</v>
      </c>
      <c r="E434" s="2">
        <v>2</v>
      </c>
      <c r="F434" s="1" t="s">
        <v>21</v>
      </c>
      <c r="G434" s="1" t="str">
        <f>INDEX(Table2[Nama Produk],MATCH(Table1[[#This Row],[SKU]],Table2[SKU],0))</f>
        <v>Monitor Ergonomis 27</v>
      </c>
      <c r="H434" s="1" t="str">
        <f>VLOOKUP(Table1[[#This Row],[SKU]],Table2[],3,FALSE)</f>
        <v>Elektronik</v>
      </c>
      <c r="I434" s="37">
        <f>INDEX(Table2[Harga Jual],MATCH(Table1[[#This Row],[SKU]],Table2[SKU],0))</f>
        <v>3400000</v>
      </c>
      <c r="J434" s="37">
        <f>VLOOKUP(Table1[[#This Row],[SKU]],Table2[],4,FALSE)</f>
        <v>2100000</v>
      </c>
      <c r="K434" s="37">
        <f>INDEX(Table3[Biaya Kirim per Unit],MATCH(Table1[[#This Row],[Kota]],Table3[Kota],))</f>
        <v>25000</v>
      </c>
      <c r="L434" s="39">
        <f>VLOOKUP(Table1[[#This Row],[Kode_Promo]],Table4[],2,FALSE)</f>
        <v>0.1</v>
      </c>
      <c r="M434" s="37">
        <f>Table1[[#This Row],[Jumlah_Unit]]*Table1[[#This Row],[Harga_Satuan]]</f>
        <v>6800000</v>
      </c>
      <c r="N434" s="37">
        <f>Table1[[#This Row],[Total_Pendapatan_Kotor]]*Table1[[#This Row],[Persentase_Diskon]]</f>
        <v>680000</v>
      </c>
      <c r="O434" s="37">
        <f>Table1[[#This Row],[Total_Pendapatan_Kotor]]-Table1[[#This Row],[Potongan_Diskon]]</f>
        <v>6120000</v>
      </c>
      <c r="P434" s="37">
        <f>(Table1[[#This Row],[Jumlah_Unit]]*Table1[[#This Row],[HPP_Satuan]])+(Table1[[#This Row],[Jumlah_Unit]]*Table1[[#This Row],[Biaya_Kirim_Satuan]])</f>
        <v>4250000</v>
      </c>
      <c r="Q434" s="37">
        <f>Table1[[#This Row],[Total_Pendapatan_Bersih]]-Table1[[#This Row],[Total_Biaya]]</f>
        <v>1870000</v>
      </c>
      <c r="R434" s="5">
        <f>Table1[[#This Row],[Laba_Kotor]]/Table1[[#This Row],[Total_Pendapatan_Bersih]]</f>
        <v>0.30555555555555558</v>
      </c>
    </row>
    <row r="435" spans="1:18" ht="20.25" thickBot="1" x14ac:dyDescent="0.6">
      <c r="A435" s="3" t="s">
        <v>464</v>
      </c>
      <c r="B435" s="21">
        <v>45777</v>
      </c>
      <c r="C435" s="1" t="s">
        <v>23</v>
      </c>
      <c r="D435" s="1" t="s">
        <v>28</v>
      </c>
      <c r="E435" s="2">
        <v>4</v>
      </c>
      <c r="F435" s="1" t="s">
        <v>25</v>
      </c>
      <c r="G435" s="1" t="str">
        <f>INDEX(Table2[Nama Produk],MATCH(Table1[[#This Row],[SKU]],Table2[SKU],0))</f>
        <v>Kursi Kerja Ergonomis</v>
      </c>
      <c r="H435" s="1" t="str">
        <f>VLOOKUP(Table1[[#This Row],[SKU]],Table2[],3,FALSE)</f>
        <v>Furnitur</v>
      </c>
      <c r="I435" s="37">
        <f>INDEX(Table2[Harga Jual],MATCH(Table1[[#This Row],[SKU]],Table2[SKU],0))</f>
        <v>2100000</v>
      </c>
      <c r="J435" s="37">
        <f>VLOOKUP(Table1[[#This Row],[SKU]],Table2[],4,FALSE)</f>
        <v>1200000</v>
      </c>
      <c r="K435" s="37">
        <f>INDEX(Table3[Biaya Kirim per Unit],MATCH(Table1[[#This Row],[Kota]],Table3[Kota],))</f>
        <v>35000</v>
      </c>
      <c r="L435" s="39">
        <f>VLOOKUP(Table1[[#This Row],[Kode_Promo]],Table4[],2,FALSE)</f>
        <v>0.3</v>
      </c>
      <c r="M435" s="37">
        <f>Table1[[#This Row],[Jumlah_Unit]]*Table1[[#This Row],[Harga_Satuan]]</f>
        <v>8400000</v>
      </c>
      <c r="N435" s="37">
        <f>Table1[[#This Row],[Total_Pendapatan_Kotor]]*Table1[[#This Row],[Persentase_Diskon]]</f>
        <v>2520000</v>
      </c>
      <c r="O435" s="37">
        <f>Table1[[#This Row],[Total_Pendapatan_Kotor]]-Table1[[#This Row],[Potongan_Diskon]]</f>
        <v>5880000</v>
      </c>
      <c r="P435" s="37">
        <f>(Table1[[#This Row],[Jumlah_Unit]]*Table1[[#This Row],[HPP_Satuan]])+(Table1[[#This Row],[Jumlah_Unit]]*Table1[[#This Row],[Biaya_Kirim_Satuan]])</f>
        <v>4940000</v>
      </c>
      <c r="Q435" s="37">
        <f>Table1[[#This Row],[Total_Pendapatan_Bersih]]-Table1[[#This Row],[Total_Biaya]]</f>
        <v>940000</v>
      </c>
      <c r="R435" s="5">
        <f>Table1[[#This Row],[Laba_Kotor]]/Table1[[#This Row],[Total_Pendapatan_Bersih]]</f>
        <v>0.1598639455782313</v>
      </c>
    </row>
    <row r="436" spans="1:18" ht="20.25" thickBot="1" x14ac:dyDescent="0.6">
      <c r="A436" s="3" t="s">
        <v>465</v>
      </c>
      <c r="B436" s="21">
        <v>45784</v>
      </c>
      <c r="C436" s="1" t="s">
        <v>27</v>
      </c>
      <c r="D436" s="1" t="s">
        <v>35</v>
      </c>
      <c r="E436" s="2">
        <v>1</v>
      </c>
      <c r="F436" s="1" t="s">
        <v>29</v>
      </c>
      <c r="G436" s="1" t="str">
        <f>INDEX(Table2[Nama Produk],MATCH(Table1[[#This Row],[SKU]],Table2[SKU],0))</f>
        <v>Meja Adjustable</v>
      </c>
      <c r="H436" s="1" t="str">
        <f>VLOOKUP(Table1[[#This Row],[SKU]],Table2[],3,FALSE)</f>
        <v>Furnitur</v>
      </c>
      <c r="I436" s="37">
        <f>INDEX(Table2[Harga Jual],MATCH(Table1[[#This Row],[SKU]],Table2[SKU],0))</f>
        <v>4200000</v>
      </c>
      <c r="J436" s="37">
        <f>VLOOKUP(Table1[[#This Row],[SKU]],Table2[],4,FALSE)</f>
        <v>2400000</v>
      </c>
      <c r="K436" s="37">
        <f>INDEX(Table3[Biaya Kirim per Unit],MATCH(Table1[[#This Row],[Kota]],Table3[Kota],))</f>
        <v>50000</v>
      </c>
      <c r="L436" s="39">
        <f>VLOOKUP(Table1[[#This Row],[Kode_Promo]],Table4[],2,FALSE)</f>
        <v>0</v>
      </c>
      <c r="M436" s="37">
        <f>Table1[[#This Row],[Jumlah_Unit]]*Table1[[#This Row],[Harga_Satuan]]</f>
        <v>4200000</v>
      </c>
      <c r="N436" s="37">
        <f>Table1[[#This Row],[Total_Pendapatan_Kotor]]*Table1[[#This Row],[Persentase_Diskon]]</f>
        <v>0</v>
      </c>
      <c r="O436" s="37">
        <f>Table1[[#This Row],[Total_Pendapatan_Kotor]]-Table1[[#This Row],[Potongan_Diskon]]</f>
        <v>4200000</v>
      </c>
      <c r="P436" s="37">
        <f>(Table1[[#This Row],[Jumlah_Unit]]*Table1[[#This Row],[HPP_Satuan]])+(Table1[[#This Row],[Jumlah_Unit]]*Table1[[#This Row],[Biaya_Kirim_Satuan]])</f>
        <v>2450000</v>
      </c>
      <c r="Q436" s="37">
        <f>Table1[[#This Row],[Total_Pendapatan_Bersih]]-Table1[[#This Row],[Total_Biaya]]</f>
        <v>1750000</v>
      </c>
      <c r="R436" s="5">
        <f>Table1[[#This Row],[Laba_Kotor]]/Table1[[#This Row],[Total_Pendapatan_Bersih]]</f>
        <v>0.41666666666666669</v>
      </c>
    </row>
    <row r="437" spans="1:18" ht="20.25" thickBot="1" x14ac:dyDescent="0.6">
      <c r="A437" s="3" t="s">
        <v>466</v>
      </c>
      <c r="B437" s="21">
        <v>45791</v>
      </c>
      <c r="C437" s="1" t="s">
        <v>31</v>
      </c>
      <c r="D437" s="1" t="s">
        <v>20</v>
      </c>
      <c r="E437" s="2">
        <v>2</v>
      </c>
      <c r="F437" s="1" t="s">
        <v>33</v>
      </c>
      <c r="G437" s="1" t="str">
        <f>INDEX(Table2[Nama Produk],MATCH(Table1[[#This Row],[SKU]],Table2[SKU],0))</f>
        <v>Laptop Pro 14</v>
      </c>
      <c r="H437" s="1" t="str">
        <f>VLOOKUP(Table1[[#This Row],[SKU]],Table2[],3,FALSE)</f>
        <v>Elektronik</v>
      </c>
      <c r="I437" s="37">
        <f>INDEX(Table2[Harga Jual],MATCH(Table1[[#This Row],[SKU]],Table2[SKU],0))</f>
        <v>12000000</v>
      </c>
      <c r="J437" s="37">
        <f>VLOOKUP(Table1[[#This Row],[SKU]],Table2[],4,FALSE)</f>
        <v>8500000</v>
      </c>
      <c r="K437" s="37">
        <f>INDEX(Table3[Biaya Kirim per Unit],MATCH(Table1[[#This Row],[Kota]],Table3[Kota],))</f>
        <v>65000</v>
      </c>
      <c r="L437" s="39">
        <f>VLOOKUP(Table1[[#This Row],[Kode_Promo]],Table4[],2,FALSE)</f>
        <v>0.2</v>
      </c>
      <c r="M437" s="37">
        <f>Table1[[#This Row],[Jumlah_Unit]]*Table1[[#This Row],[Harga_Satuan]]</f>
        <v>24000000</v>
      </c>
      <c r="N437" s="37">
        <f>Table1[[#This Row],[Total_Pendapatan_Kotor]]*Table1[[#This Row],[Persentase_Diskon]]</f>
        <v>4800000</v>
      </c>
      <c r="O437" s="37">
        <f>Table1[[#This Row],[Total_Pendapatan_Kotor]]-Table1[[#This Row],[Potongan_Diskon]]</f>
        <v>19200000</v>
      </c>
      <c r="P437" s="37">
        <f>(Table1[[#This Row],[Jumlah_Unit]]*Table1[[#This Row],[HPP_Satuan]])+(Table1[[#This Row],[Jumlah_Unit]]*Table1[[#This Row],[Biaya_Kirim_Satuan]])</f>
        <v>17130000</v>
      </c>
      <c r="Q437" s="37">
        <f>Table1[[#This Row],[Total_Pendapatan_Bersih]]-Table1[[#This Row],[Total_Biaya]]</f>
        <v>2070000</v>
      </c>
      <c r="R437" s="5">
        <f>Table1[[#This Row],[Laba_Kotor]]/Table1[[#This Row],[Total_Pendapatan_Bersih]]</f>
        <v>0.10781250000000001</v>
      </c>
    </row>
    <row r="438" spans="1:18" ht="20.25" thickBot="1" x14ac:dyDescent="0.6">
      <c r="A438" s="3" t="s">
        <v>467</v>
      </c>
      <c r="B438" s="21">
        <v>45798</v>
      </c>
      <c r="C438" s="1" t="s">
        <v>19</v>
      </c>
      <c r="D438" s="1" t="s">
        <v>24</v>
      </c>
      <c r="E438" s="2">
        <v>8</v>
      </c>
      <c r="F438" s="1" t="s">
        <v>21</v>
      </c>
      <c r="G438" s="1" t="str">
        <f>INDEX(Table2[Nama Produk],MATCH(Table1[[#This Row],[SKU]],Table2[SKU],0))</f>
        <v>Mechanical Keyboard</v>
      </c>
      <c r="H438" s="1" t="str">
        <f>VLOOKUP(Table1[[#This Row],[SKU]],Table2[],3,FALSE)</f>
        <v>Aksesori</v>
      </c>
      <c r="I438" s="37">
        <f>INDEX(Table2[Harga Jual],MATCH(Table1[[#This Row],[SKU]],Table2[SKU],0))</f>
        <v>850000</v>
      </c>
      <c r="J438" s="37">
        <f>VLOOKUP(Table1[[#This Row],[SKU]],Table2[],4,FALSE)</f>
        <v>450000</v>
      </c>
      <c r="K438" s="37">
        <f>INDEX(Table3[Biaya Kirim per Unit],MATCH(Table1[[#This Row],[Kota]],Table3[Kota],))</f>
        <v>25000</v>
      </c>
      <c r="L438" s="39">
        <f>VLOOKUP(Table1[[#This Row],[Kode_Promo]],Table4[],2,FALSE)</f>
        <v>0.1</v>
      </c>
      <c r="M438" s="37">
        <f>Table1[[#This Row],[Jumlah_Unit]]*Table1[[#This Row],[Harga_Satuan]]</f>
        <v>6800000</v>
      </c>
      <c r="N438" s="37">
        <f>Table1[[#This Row],[Total_Pendapatan_Kotor]]*Table1[[#This Row],[Persentase_Diskon]]</f>
        <v>680000</v>
      </c>
      <c r="O438" s="37">
        <f>Table1[[#This Row],[Total_Pendapatan_Kotor]]-Table1[[#This Row],[Potongan_Diskon]]</f>
        <v>6120000</v>
      </c>
      <c r="P438" s="37">
        <f>(Table1[[#This Row],[Jumlah_Unit]]*Table1[[#This Row],[HPP_Satuan]])+(Table1[[#This Row],[Jumlah_Unit]]*Table1[[#This Row],[Biaya_Kirim_Satuan]])</f>
        <v>3800000</v>
      </c>
      <c r="Q438" s="37">
        <f>Table1[[#This Row],[Total_Pendapatan_Bersih]]-Table1[[#This Row],[Total_Biaya]]</f>
        <v>2320000</v>
      </c>
      <c r="R438" s="5">
        <f>Table1[[#This Row],[Laba_Kotor]]/Table1[[#This Row],[Total_Pendapatan_Bersih]]</f>
        <v>0.37908496732026142</v>
      </c>
    </row>
    <row r="439" spans="1:18" ht="20.25" thickBot="1" x14ac:dyDescent="0.6">
      <c r="A439" s="3" t="s">
        <v>468</v>
      </c>
      <c r="B439" s="21">
        <v>45805</v>
      </c>
      <c r="C439" s="1" t="s">
        <v>23</v>
      </c>
      <c r="D439" s="1" t="s">
        <v>32</v>
      </c>
      <c r="E439" s="2">
        <v>3</v>
      </c>
      <c r="F439" s="1" t="s">
        <v>25</v>
      </c>
      <c r="G439" s="1" t="str">
        <f>INDEX(Table2[Nama Produk],MATCH(Table1[[#This Row],[SKU]],Table2[SKU],0))</f>
        <v>Monitor Ergonomis 27</v>
      </c>
      <c r="H439" s="1" t="str">
        <f>VLOOKUP(Table1[[#This Row],[SKU]],Table2[],3,FALSE)</f>
        <v>Elektronik</v>
      </c>
      <c r="I439" s="37">
        <f>INDEX(Table2[Harga Jual],MATCH(Table1[[#This Row],[SKU]],Table2[SKU],0))</f>
        <v>3400000</v>
      </c>
      <c r="J439" s="37">
        <f>VLOOKUP(Table1[[#This Row],[SKU]],Table2[],4,FALSE)</f>
        <v>2100000</v>
      </c>
      <c r="K439" s="37">
        <f>INDEX(Table3[Biaya Kirim per Unit],MATCH(Table1[[#This Row],[Kota]],Table3[Kota],))</f>
        <v>35000</v>
      </c>
      <c r="L439" s="39">
        <f>VLOOKUP(Table1[[#This Row],[Kode_Promo]],Table4[],2,FALSE)</f>
        <v>0.3</v>
      </c>
      <c r="M439" s="37">
        <f>Table1[[#This Row],[Jumlah_Unit]]*Table1[[#This Row],[Harga_Satuan]]</f>
        <v>10200000</v>
      </c>
      <c r="N439" s="37">
        <f>Table1[[#This Row],[Total_Pendapatan_Kotor]]*Table1[[#This Row],[Persentase_Diskon]]</f>
        <v>3060000</v>
      </c>
      <c r="O439" s="37">
        <f>Table1[[#This Row],[Total_Pendapatan_Kotor]]-Table1[[#This Row],[Potongan_Diskon]]</f>
        <v>7140000</v>
      </c>
      <c r="P439" s="37">
        <f>(Table1[[#This Row],[Jumlah_Unit]]*Table1[[#This Row],[HPP_Satuan]])+(Table1[[#This Row],[Jumlah_Unit]]*Table1[[#This Row],[Biaya_Kirim_Satuan]])</f>
        <v>6405000</v>
      </c>
      <c r="Q439" s="37">
        <f>Table1[[#This Row],[Total_Pendapatan_Bersih]]-Table1[[#This Row],[Total_Biaya]]</f>
        <v>735000</v>
      </c>
      <c r="R439" s="5">
        <f>Table1[[#This Row],[Laba_Kotor]]/Table1[[#This Row],[Total_Pendapatan_Bersih]]</f>
        <v>0.10294117647058823</v>
      </c>
    </row>
    <row r="440" spans="1:18" ht="20.25" thickBot="1" x14ac:dyDescent="0.6">
      <c r="A440" s="3" t="s">
        <v>469</v>
      </c>
      <c r="B440" s="21">
        <v>45812</v>
      </c>
      <c r="C440" s="1" t="s">
        <v>27</v>
      </c>
      <c r="D440" s="1" t="s">
        <v>28</v>
      </c>
      <c r="E440" s="2">
        <v>2</v>
      </c>
      <c r="F440" s="1" t="s">
        <v>29</v>
      </c>
      <c r="G440" s="1" t="str">
        <f>INDEX(Table2[Nama Produk],MATCH(Table1[[#This Row],[SKU]],Table2[SKU],0))</f>
        <v>Kursi Kerja Ergonomis</v>
      </c>
      <c r="H440" s="1" t="str">
        <f>VLOOKUP(Table1[[#This Row],[SKU]],Table2[],3,FALSE)</f>
        <v>Furnitur</v>
      </c>
      <c r="I440" s="37">
        <f>INDEX(Table2[Harga Jual],MATCH(Table1[[#This Row],[SKU]],Table2[SKU],0))</f>
        <v>2100000</v>
      </c>
      <c r="J440" s="37">
        <f>VLOOKUP(Table1[[#This Row],[SKU]],Table2[],4,FALSE)</f>
        <v>1200000</v>
      </c>
      <c r="K440" s="37">
        <f>INDEX(Table3[Biaya Kirim per Unit],MATCH(Table1[[#This Row],[Kota]],Table3[Kota],))</f>
        <v>50000</v>
      </c>
      <c r="L440" s="39">
        <f>VLOOKUP(Table1[[#This Row],[Kode_Promo]],Table4[],2,FALSE)</f>
        <v>0</v>
      </c>
      <c r="M440" s="37">
        <f>Table1[[#This Row],[Jumlah_Unit]]*Table1[[#This Row],[Harga_Satuan]]</f>
        <v>4200000</v>
      </c>
      <c r="N440" s="37">
        <f>Table1[[#This Row],[Total_Pendapatan_Kotor]]*Table1[[#This Row],[Persentase_Diskon]]</f>
        <v>0</v>
      </c>
      <c r="O440" s="37">
        <f>Table1[[#This Row],[Total_Pendapatan_Kotor]]-Table1[[#This Row],[Potongan_Diskon]]</f>
        <v>4200000</v>
      </c>
      <c r="P440" s="37">
        <f>(Table1[[#This Row],[Jumlah_Unit]]*Table1[[#This Row],[HPP_Satuan]])+(Table1[[#This Row],[Jumlah_Unit]]*Table1[[#This Row],[Biaya_Kirim_Satuan]])</f>
        <v>2500000</v>
      </c>
      <c r="Q440" s="37">
        <f>Table1[[#This Row],[Total_Pendapatan_Bersih]]-Table1[[#This Row],[Total_Biaya]]</f>
        <v>1700000</v>
      </c>
      <c r="R440" s="5">
        <f>Table1[[#This Row],[Laba_Kotor]]/Table1[[#This Row],[Total_Pendapatan_Bersih]]</f>
        <v>0.40476190476190477</v>
      </c>
    </row>
    <row r="441" spans="1:18" ht="20.25" thickBot="1" x14ac:dyDescent="0.6">
      <c r="A441" s="3" t="s">
        <v>470</v>
      </c>
      <c r="B441" s="21">
        <v>45819</v>
      </c>
      <c r="C441" s="1" t="s">
        <v>31</v>
      </c>
      <c r="D441" s="1" t="s">
        <v>35</v>
      </c>
      <c r="E441" s="2">
        <v>5</v>
      </c>
      <c r="F441" s="1" t="s">
        <v>33</v>
      </c>
      <c r="G441" s="1" t="str">
        <f>INDEX(Table2[Nama Produk],MATCH(Table1[[#This Row],[SKU]],Table2[SKU],0))</f>
        <v>Meja Adjustable</v>
      </c>
      <c r="H441" s="1" t="str">
        <f>VLOOKUP(Table1[[#This Row],[SKU]],Table2[],3,FALSE)</f>
        <v>Furnitur</v>
      </c>
      <c r="I441" s="37">
        <f>INDEX(Table2[Harga Jual],MATCH(Table1[[#This Row],[SKU]],Table2[SKU],0))</f>
        <v>4200000</v>
      </c>
      <c r="J441" s="37">
        <f>VLOOKUP(Table1[[#This Row],[SKU]],Table2[],4,FALSE)</f>
        <v>2400000</v>
      </c>
      <c r="K441" s="37">
        <f>INDEX(Table3[Biaya Kirim per Unit],MATCH(Table1[[#This Row],[Kota]],Table3[Kota],))</f>
        <v>65000</v>
      </c>
      <c r="L441" s="39">
        <f>VLOOKUP(Table1[[#This Row],[Kode_Promo]],Table4[],2,FALSE)</f>
        <v>0.2</v>
      </c>
      <c r="M441" s="37">
        <f>Table1[[#This Row],[Jumlah_Unit]]*Table1[[#This Row],[Harga_Satuan]]</f>
        <v>21000000</v>
      </c>
      <c r="N441" s="37">
        <f>Table1[[#This Row],[Total_Pendapatan_Kotor]]*Table1[[#This Row],[Persentase_Diskon]]</f>
        <v>4200000</v>
      </c>
      <c r="O441" s="37">
        <f>Table1[[#This Row],[Total_Pendapatan_Kotor]]-Table1[[#This Row],[Potongan_Diskon]]</f>
        <v>16800000</v>
      </c>
      <c r="P441" s="37">
        <f>(Table1[[#This Row],[Jumlah_Unit]]*Table1[[#This Row],[HPP_Satuan]])+(Table1[[#This Row],[Jumlah_Unit]]*Table1[[#This Row],[Biaya_Kirim_Satuan]])</f>
        <v>12325000</v>
      </c>
      <c r="Q441" s="37">
        <f>Table1[[#This Row],[Total_Pendapatan_Bersih]]-Table1[[#This Row],[Total_Biaya]]</f>
        <v>4475000</v>
      </c>
      <c r="R441" s="5">
        <f>Table1[[#This Row],[Laba_Kotor]]/Table1[[#This Row],[Total_Pendapatan_Bersih]]</f>
        <v>0.26636904761904762</v>
      </c>
    </row>
    <row r="442" spans="1:18" ht="20.25" thickBot="1" x14ac:dyDescent="0.6">
      <c r="A442" s="3" t="s">
        <v>471</v>
      </c>
      <c r="B442" s="21">
        <v>45826</v>
      </c>
      <c r="C442" s="1" t="s">
        <v>19</v>
      </c>
      <c r="D442" s="1" t="s">
        <v>20</v>
      </c>
      <c r="E442" s="2">
        <v>1</v>
      </c>
      <c r="F442" s="1" t="s">
        <v>21</v>
      </c>
      <c r="G442" s="1" t="str">
        <f>INDEX(Table2[Nama Produk],MATCH(Table1[[#This Row],[SKU]],Table2[SKU],0))</f>
        <v>Laptop Pro 14</v>
      </c>
      <c r="H442" s="1" t="str">
        <f>VLOOKUP(Table1[[#This Row],[SKU]],Table2[],3,FALSE)</f>
        <v>Elektronik</v>
      </c>
      <c r="I442" s="37">
        <f>INDEX(Table2[Harga Jual],MATCH(Table1[[#This Row],[SKU]],Table2[SKU],0))</f>
        <v>12000000</v>
      </c>
      <c r="J442" s="37">
        <f>VLOOKUP(Table1[[#This Row],[SKU]],Table2[],4,FALSE)</f>
        <v>8500000</v>
      </c>
      <c r="K442" s="37">
        <f>INDEX(Table3[Biaya Kirim per Unit],MATCH(Table1[[#This Row],[Kota]],Table3[Kota],))</f>
        <v>25000</v>
      </c>
      <c r="L442" s="39">
        <f>VLOOKUP(Table1[[#This Row],[Kode_Promo]],Table4[],2,FALSE)</f>
        <v>0.1</v>
      </c>
      <c r="M442" s="37">
        <f>Table1[[#This Row],[Jumlah_Unit]]*Table1[[#This Row],[Harga_Satuan]]</f>
        <v>12000000</v>
      </c>
      <c r="N442" s="37">
        <f>Table1[[#This Row],[Total_Pendapatan_Kotor]]*Table1[[#This Row],[Persentase_Diskon]]</f>
        <v>1200000</v>
      </c>
      <c r="O442" s="37">
        <f>Table1[[#This Row],[Total_Pendapatan_Kotor]]-Table1[[#This Row],[Potongan_Diskon]]</f>
        <v>10800000</v>
      </c>
      <c r="P442" s="37">
        <f>(Table1[[#This Row],[Jumlah_Unit]]*Table1[[#This Row],[HPP_Satuan]])+(Table1[[#This Row],[Jumlah_Unit]]*Table1[[#This Row],[Biaya_Kirim_Satuan]])</f>
        <v>8525000</v>
      </c>
      <c r="Q442" s="37">
        <f>Table1[[#This Row],[Total_Pendapatan_Bersih]]-Table1[[#This Row],[Total_Biaya]]</f>
        <v>2275000</v>
      </c>
      <c r="R442" s="5">
        <f>Table1[[#This Row],[Laba_Kotor]]/Table1[[#This Row],[Total_Pendapatan_Bersih]]</f>
        <v>0.21064814814814814</v>
      </c>
    </row>
    <row r="443" spans="1:18" ht="20.25" thickBot="1" x14ac:dyDescent="0.6">
      <c r="A443" s="3" t="s">
        <v>472</v>
      </c>
      <c r="B443" s="21">
        <v>45833</v>
      </c>
      <c r="C443" s="1" t="s">
        <v>23</v>
      </c>
      <c r="D443" s="1" t="s">
        <v>24</v>
      </c>
      <c r="E443" s="2">
        <v>6</v>
      </c>
      <c r="F443" s="1" t="s">
        <v>25</v>
      </c>
      <c r="G443" s="1" t="str">
        <f>INDEX(Table2[Nama Produk],MATCH(Table1[[#This Row],[SKU]],Table2[SKU],0))</f>
        <v>Mechanical Keyboard</v>
      </c>
      <c r="H443" s="1" t="str">
        <f>VLOOKUP(Table1[[#This Row],[SKU]],Table2[],3,FALSE)</f>
        <v>Aksesori</v>
      </c>
      <c r="I443" s="37">
        <f>INDEX(Table2[Harga Jual],MATCH(Table1[[#This Row],[SKU]],Table2[SKU],0))</f>
        <v>850000</v>
      </c>
      <c r="J443" s="37">
        <f>VLOOKUP(Table1[[#This Row],[SKU]],Table2[],4,FALSE)</f>
        <v>450000</v>
      </c>
      <c r="K443" s="37">
        <f>INDEX(Table3[Biaya Kirim per Unit],MATCH(Table1[[#This Row],[Kota]],Table3[Kota],))</f>
        <v>35000</v>
      </c>
      <c r="L443" s="39">
        <f>VLOOKUP(Table1[[#This Row],[Kode_Promo]],Table4[],2,FALSE)</f>
        <v>0.3</v>
      </c>
      <c r="M443" s="37">
        <f>Table1[[#This Row],[Jumlah_Unit]]*Table1[[#This Row],[Harga_Satuan]]</f>
        <v>5100000</v>
      </c>
      <c r="N443" s="37">
        <f>Table1[[#This Row],[Total_Pendapatan_Kotor]]*Table1[[#This Row],[Persentase_Diskon]]</f>
        <v>1530000</v>
      </c>
      <c r="O443" s="37">
        <f>Table1[[#This Row],[Total_Pendapatan_Kotor]]-Table1[[#This Row],[Potongan_Diskon]]</f>
        <v>3570000</v>
      </c>
      <c r="P443" s="37">
        <f>(Table1[[#This Row],[Jumlah_Unit]]*Table1[[#This Row],[HPP_Satuan]])+(Table1[[#This Row],[Jumlah_Unit]]*Table1[[#This Row],[Biaya_Kirim_Satuan]])</f>
        <v>2910000</v>
      </c>
      <c r="Q443" s="37">
        <f>Table1[[#This Row],[Total_Pendapatan_Bersih]]-Table1[[#This Row],[Total_Biaya]]</f>
        <v>660000</v>
      </c>
      <c r="R443" s="5">
        <f>Table1[[#This Row],[Laba_Kotor]]/Table1[[#This Row],[Total_Pendapatan_Bersih]]</f>
        <v>0.18487394957983194</v>
      </c>
    </row>
    <row r="444" spans="1:18" ht="20.25" thickBot="1" x14ac:dyDescent="0.6">
      <c r="A444" s="3" t="s">
        <v>473</v>
      </c>
      <c r="B444" s="21">
        <v>45840</v>
      </c>
      <c r="C444" s="1" t="s">
        <v>27</v>
      </c>
      <c r="D444" s="1" t="s">
        <v>32</v>
      </c>
      <c r="E444" s="2">
        <v>4</v>
      </c>
      <c r="F444" s="1" t="s">
        <v>29</v>
      </c>
      <c r="G444" s="1" t="str">
        <f>INDEX(Table2[Nama Produk],MATCH(Table1[[#This Row],[SKU]],Table2[SKU],0))</f>
        <v>Monitor Ergonomis 27</v>
      </c>
      <c r="H444" s="1" t="str">
        <f>VLOOKUP(Table1[[#This Row],[SKU]],Table2[],3,FALSE)</f>
        <v>Elektronik</v>
      </c>
      <c r="I444" s="37">
        <f>INDEX(Table2[Harga Jual],MATCH(Table1[[#This Row],[SKU]],Table2[SKU],0))</f>
        <v>3400000</v>
      </c>
      <c r="J444" s="37">
        <f>VLOOKUP(Table1[[#This Row],[SKU]],Table2[],4,FALSE)</f>
        <v>2100000</v>
      </c>
      <c r="K444" s="37">
        <f>INDEX(Table3[Biaya Kirim per Unit],MATCH(Table1[[#This Row],[Kota]],Table3[Kota],))</f>
        <v>50000</v>
      </c>
      <c r="L444" s="39">
        <f>VLOOKUP(Table1[[#This Row],[Kode_Promo]],Table4[],2,FALSE)</f>
        <v>0</v>
      </c>
      <c r="M444" s="37">
        <f>Table1[[#This Row],[Jumlah_Unit]]*Table1[[#This Row],[Harga_Satuan]]</f>
        <v>13600000</v>
      </c>
      <c r="N444" s="37">
        <f>Table1[[#This Row],[Total_Pendapatan_Kotor]]*Table1[[#This Row],[Persentase_Diskon]]</f>
        <v>0</v>
      </c>
      <c r="O444" s="37">
        <f>Table1[[#This Row],[Total_Pendapatan_Kotor]]-Table1[[#This Row],[Potongan_Diskon]]</f>
        <v>13600000</v>
      </c>
      <c r="P444" s="37">
        <f>(Table1[[#This Row],[Jumlah_Unit]]*Table1[[#This Row],[HPP_Satuan]])+(Table1[[#This Row],[Jumlah_Unit]]*Table1[[#This Row],[Biaya_Kirim_Satuan]])</f>
        <v>8600000</v>
      </c>
      <c r="Q444" s="37">
        <f>Table1[[#This Row],[Total_Pendapatan_Bersih]]-Table1[[#This Row],[Total_Biaya]]</f>
        <v>5000000</v>
      </c>
      <c r="R444" s="5">
        <f>Table1[[#This Row],[Laba_Kotor]]/Table1[[#This Row],[Total_Pendapatan_Bersih]]</f>
        <v>0.36764705882352944</v>
      </c>
    </row>
    <row r="445" spans="1:18" ht="20.25" thickBot="1" x14ac:dyDescent="0.6">
      <c r="A445" s="3" t="s">
        <v>474</v>
      </c>
      <c r="B445" s="21">
        <v>45847</v>
      </c>
      <c r="C445" s="1" t="s">
        <v>31</v>
      </c>
      <c r="D445" s="1" t="s">
        <v>28</v>
      </c>
      <c r="E445" s="2">
        <v>2</v>
      </c>
      <c r="F445" s="1" t="s">
        <v>33</v>
      </c>
      <c r="G445" s="1" t="str">
        <f>INDEX(Table2[Nama Produk],MATCH(Table1[[#This Row],[SKU]],Table2[SKU],0))</f>
        <v>Kursi Kerja Ergonomis</v>
      </c>
      <c r="H445" s="1" t="str">
        <f>VLOOKUP(Table1[[#This Row],[SKU]],Table2[],3,FALSE)</f>
        <v>Furnitur</v>
      </c>
      <c r="I445" s="37">
        <f>INDEX(Table2[Harga Jual],MATCH(Table1[[#This Row],[SKU]],Table2[SKU],0))</f>
        <v>2100000</v>
      </c>
      <c r="J445" s="37">
        <f>VLOOKUP(Table1[[#This Row],[SKU]],Table2[],4,FALSE)</f>
        <v>1200000</v>
      </c>
      <c r="K445" s="37">
        <f>INDEX(Table3[Biaya Kirim per Unit],MATCH(Table1[[#This Row],[Kota]],Table3[Kota],))</f>
        <v>65000</v>
      </c>
      <c r="L445" s="39">
        <f>VLOOKUP(Table1[[#This Row],[Kode_Promo]],Table4[],2,FALSE)</f>
        <v>0.2</v>
      </c>
      <c r="M445" s="37">
        <f>Table1[[#This Row],[Jumlah_Unit]]*Table1[[#This Row],[Harga_Satuan]]</f>
        <v>4200000</v>
      </c>
      <c r="N445" s="37">
        <f>Table1[[#This Row],[Total_Pendapatan_Kotor]]*Table1[[#This Row],[Persentase_Diskon]]</f>
        <v>840000</v>
      </c>
      <c r="O445" s="37">
        <f>Table1[[#This Row],[Total_Pendapatan_Kotor]]-Table1[[#This Row],[Potongan_Diskon]]</f>
        <v>3360000</v>
      </c>
      <c r="P445" s="37">
        <f>(Table1[[#This Row],[Jumlah_Unit]]*Table1[[#This Row],[HPP_Satuan]])+(Table1[[#This Row],[Jumlah_Unit]]*Table1[[#This Row],[Biaya_Kirim_Satuan]])</f>
        <v>2530000</v>
      </c>
      <c r="Q445" s="37">
        <f>Table1[[#This Row],[Total_Pendapatan_Bersih]]-Table1[[#This Row],[Total_Biaya]]</f>
        <v>830000</v>
      </c>
      <c r="R445" s="5">
        <f>Table1[[#This Row],[Laba_Kotor]]/Table1[[#This Row],[Total_Pendapatan_Bersih]]</f>
        <v>0.24702380952380953</v>
      </c>
    </row>
    <row r="446" spans="1:18" ht="20.25" thickBot="1" x14ac:dyDescent="0.6">
      <c r="A446" s="3" t="s">
        <v>475</v>
      </c>
      <c r="B446" s="21">
        <v>45854</v>
      </c>
      <c r="C446" s="1" t="s">
        <v>19</v>
      </c>
      <c r="D446" s="1" t="s">
        <v>35</v>
      </c>
      <c r="E446" s="2">
        <v>3</v>
      </c>
      <c r="F446" s="1" t="s">
        <v>21</v>
      </c>
      <c r="G446" s="1" t="str">
        <f>INDEX(Table2[Nama Produk],MATCH(Table1[[#This Row],[SKU]],Table2[SKU],0))</f>
        <v>Meja Adjustable</v>
      </c>
      <c r="H446" s="1" t="str">
        <f>VLOOKUP(Table1[[#This Row],[SKU]],Table2[],3,FALSE)</f>
        <v>Furnitur</v>
      </c>
      <c r="I446" s="37">
        <f>INDEX(Table2[Harga Jual],MATCH(Table1[[#This Row],[SKU]],Table2[SKU],0))</f>
        <v>4200000</v>
      </c>
      <c r="J446" s="37">
        <f>VLOOKUP(Table1[[#This Row],[SKU]],Table2[],4,FALSE)</f>
        <v>2400000</v>
      </c>
      <c r="K446" s="37">
        <f>INDEX(Table3[Biaya Kirim per Unit],MATCH(Table1[[#This Row],[Kota]],Table3[Kota],))</f>
        <v>25000</v>
      </c>
      <c r="L446" s="39">
        <f>VLOOKUP(Table1[[#This Row],[Kode_Promo]],Table4[],2,FALSE)</f>
        <v>0.1</v>
      </c>
      <c r="M446" s="37">
        <f>Table1[[#This Row],[Jumlah_Unit]]*Table1[[#This Row],[Harga_Satuan]]</f>
        <v>12600000</v>
      </c>
      <c r="N446" s="37">
        <f>Table1[[#This Row],[Total_Pendapatan_Kotor]]*Table1[[#This Row],[Persentase_Diskon]]</f>
        <v>1260000</v>
      </c>
      <c r="O446" s="37">
        <f>Table1[[#This Row],[Total_Pendapatan_Kotor]]-Table1[[#This Row],[Potongan_Diskon]]</f>
        <v>11340000</v>
      </c>
      <c r="P446" s="37">
        <f>(Table1[[#This Row],[Jumlah_Unit]]*Table1[[#This Row],[HPP_Satuan]])+(Table1[[#This Row],[Jumlah_Unit]]*Table1[[#This Row],[Biaya_Kirim_Satuan]])</f>
        <v>7275000</v>
      </c>
      <c r="Q446" s="37">
        <f>Table1[[#This Row],[Total_Pendapatan_Bersih]]-Table1[[#This Row],[Total_Biaya]]</f>
        <v>4065000</v>
      </c>
      <c r="R446" s="5">
        <f>Table1[[#This Row],[Laba_Kotor]]/Table1[[#This Row],[Total_Pendapatan_Bersih]]</f>
        <v>0.35846560846560849</v>
      </c>
    </row>
    <row r="447" spans="1:18" ht="20.25" thickBot="1" x14ac:dyDescent="0.6">
      <c r="A447" s="3" t="s">
        <v>476</v>
      </c>
      <c r="B447" s="21">
        <v>45861</v>
      </c>
      <c r="C447" s="1" t="s">
        <v>23</v>
      </c>
      <c r="D447" s="1" t="s">
        <v>20</v>
      </c>
      <c r="E447" s="2">
        <v>2</v>
      </c>
      <c r="F447" s="1" t="s">
        <v>29</v>
      </c>
      <c r="G447" s="1" t="str">
        <f>INDEX(Table2[Nama Produk],MATCH(Table1[[#This Row],[SKU]],Table2[SKU],0))</f>
        <v>Laptop Pro 14</v>
      </c>
      <c r="H447" s="1" t="str">
        <f>VLOOKUP(Table1[[#This Row],[SKU]],Table2[],3,FALSE)</f>
        <v>Elektronik</v>
      </c>
      <c r="I447" s="37">
        <f>INDEX(Table2[Harga Jual],MATCH(Table1[[#This Row],[SKU]],Table2[SKU],0))</f>
        <v>12000000</v>
      </c>
      <c r="J447" s="37">
        <f>VLOOKUP(Table1[[#This Row],[SKU]],Table2[],4,FALSE)</f>
        <v>8500000</v>
      </c>
      <c r="K447" s="37">
        <f>INDEX(Table3[Biaya Kirim per Unit],MATCH(Table1[[#This Row],[Kota]],Table3[Kota],))</f>
        <v>35000</v>
      </c>
      <c r="L447" s="39">
        <f>VLOOKUP(Table1[[#This Row],[Kode_Promo]],Table4[],2,FALSE)</f>
        <v>0</v>
      </c>
      <c r="M447" s="37">
        <f>Table1[[#This Row],[Jumlah_Unit]]*Table1[[#This Row],[Harga_Satuan]]</f>
        <v>24000000</v>
      </c>
      <c r="N447" s="37">
        <f>Table1[[#This Row],[Total_Pendapatan_Kotor]]*Table1[[#This Row],[Persentase_Diskon]]</f>
        <v>0</v>
      </c>
      <c r="O447" s="37">
        <f>Table1[[#This Row],[Total_Pendapatan_Kotor]]-Table1[[#This Row],[Potongan_Diskon]]</f>
        <v>24000000</v>
      </c>
      <c r="P447" s="37">
        <f>(Table1[[#This Row],[Jumlah_Unit]]*Table1[[#This Row],[HPP_Satuan]])+(Table1[[#This Row],[Jumlah_Unit]]*Table1[[#This Row],[Biaya_Kirim_Satuan]])</f>
        <v>17070000</v>
      </c>
      <c r="Q447" s="37">
        <f>Table1[[#This Row],[Total_Pendapatan_Bersih]]-Table1[[#This Row],[Total_Biaya]]</f>
        <v>6930000</v>
      </c>
      <c r="R447" s="5">
        <f>Table1[[#This Row],[Laba_Kotor]]/Table1[[#This Row],[Total_Pendapatan_Bersih]]</f>
        <v>0.28875000000000001</v>
      </c>
    </row>
    <row r="448" spans="1:18" ht="20.25" thickBot="1" x14ac:dyDescent="0.6">
      <c r="A448" s="3" t="s">
        <v>477</v>
      </c>
      <c r="B448" s="21">
        <v>45868</v>
      </c>
      <c r="C448" s="1" t="s">
        <v>27</v>
      </c>
      <c r="D448" s="1" t="s">
        <v>24</v>
      </c>
      <c r="E448" s="2">
        <v>7</v>
      </c>
      <c r="F448" s="1" t="s">
        <v>25</v>
      </c>
      <c r="G448" s="1" t="str">
        <f>INDEX(Table2[Nama Produk],MATCH(Table1[[#This Row],[SKU]],Table2[SKU],0))</f>
        <v>Mechanical Keyboard</v>
      </c>
      <c r="H448" s="1" t="str">
        <f>VLOOKUP(Table1[[#This Row],[SKU]],Table2[],3,FALSE)</f>
        <v>Aksesori</v>
      </c>
      <c r="I448" s="37">
        <f>INDEX(Table2[Harga Jual],MATCH(Table1[[#This Row],[SKU]],Table2[SKU],0))</f>
        <v>850000</v>
      </c>
      <c r="J448" s="37">
        <f>VLOOKUP(Table1[[#This Row],[SKU]],Table2[],4,FALSE)</f>
        <v>450000</v>
      </c>
      <c r="K448" s="37">
        <f>INDEX(Table3[Biaya Kirim per Unit],MATCH(Table1[[#This Row],[Kota]],Table3[Kota],))</f>
        <v>50000</v>
      </c>
      <c r="L448" s="39">
        <f>VLOOKUP(Table1[[#This Row],[Kode_Promo]],Table4[],2,FALSE)</f>
        <v>0.3</v>
      </c>
      <c r="M448" s="37">
        <f>Table1[[#This Row],[Jumlah_Unit]]*Table1[[#This Row],[Harga_Satuan]]</f>
        <v>5950000</v>
      </c>
      <c r="N448" s="37">
        <f>Table1[[#This Row],[Total_Pendapatan_Kotor]]*Table1[[#This Row],[Persentase_Diskon]]</f>
        <v>1785000</v>
      </c>
      <c r="O448" s="37">
        <f>Table1[[#This Row],[Total_Pendapatan_Kotor]]-Table1[[#This Row],[Potongan_Diskon]]</f>
        <v>4165000</v>
      </c>
      <c r="P448" s="37">
        <f>(Table1[[#This Row],[Jumlah_Unit]]*Table1[[#This Row],[HPP_Satuan]])+(Table1[[#This Row],[Jumlah_Unit]]*Table1[[#This Row],[Biaya_Kirim_Satuan]])</f>
        <v>3500000</v>
      </c>
      <c r="Q448" s="37">
        <f>Table1[[#This Row],[Total_Pendapatan_Bersih]]-Table1[[#This Row],[Total_Biaya]]</f>
        <v>665000</v>
      </c>
      <c r="R448" s="5">
        <f>Table1[[#This Row],[Laba_Kotor]]/Table1[[#This Row],[Total_Pendapatan_Bersih]]</f>
        <v>0.15966386554621848</v>
      </c>
    </row>
    <row r="449" spans="1:18" ht="20.25" thickBot="1" x14ac:dyDescent="0.6">
      <c r="A449" s="3" t="s">
        <v>478</v>
      </c>
      <c r="B449" s="21">
        <v>45875</v>
      </c>
      <c r="C449" s="1" t="s">
        <v>31</v>
      </c>
      <c r="D449" s="1" t="s">
        <v>32</v>
      </c>
      <c r="E449" s="2">
        <v>1</v>
      </c>
      <c r="F449" s="1" t="s">
        <v>33</v>
      </c>
      <c r="G449" s="1" t="str">
        <f>INDEX(Table2[Nama Produk],MATCH(Table1[[#This Row],[SKU]],Table2[SKU],0))</f>
        <v>Monitor Ergonomis 27</v>
      </c>
      <c r="H449" s="1" t="str">
        <f>VLOOKUP(Table1[[#This Row],[SKU]],Table2[],3,FALSE)</f>
        <v>Elektronik</v>
      </c>
      <c r="I449" s="37">
        <f>INDEX(Table2[Harga Jual],MATCH(Table1[[#This Row],[SKU]],Table2[SKU],0))</f>
        <v>3400000</v>
      </c>
      <c r="J449" s="37">
        <f>VLOOKUP(Table1[[#This Row],[SKU]],Table2[],4,FALSE)</f>
        <v>2100000</v>
      </c>
      <c r="K449" s="37">
        <f>INDEX(Table3[Biaya Kirim per Unit],MATCH(Table1[[#This Row],[Kota]],Table3[Kota],))</f>
        <v>65000</v>
      </c>
      <c r="L449" s="39">
        <f>VLOOKUP(Table1[[#This Row],[Kode_Promo]],Table4[],2,FALSE)</f>
        <v>0.2</v>
      </c>
      <c r="M449" s="37">
        <f>Table1[[#This Row],[Jumlah_Unit]]*Table1[[#This Row],[Harga_Satuan]]</f>
        <v>3400000</v>
      </c>
      <c r="N449" s="37">
        <f>Table1[[#This Row],[Total_Pendapatan_Kotor]]*Table1[[#This Row],[Persentase_Diskon]]</f>
        <v>680000</v>
      </c>
      <c r="O449" s="37">
        <f>Table1[[#This Row],[Total_Pendapatan_Kotor]]-Table1[[#This Row],[Potongan_Diskon]]</f>
        <v>2720000</v>
      </c>
      <c r="P449" s="37">
        <f>(Table1[[#This Row],[Jumlah_Unit]]*Table1[[#This Row],[HPP_Satuan]])+(Table1[[#This Row],[Jumlah_Unit]]*Table1[[#This Row],[Biaya_Kirim_Satuan]])</f>
        <v>2165000</v>
      </c>
      <c r="Q449" s="37">
        <f>Table1[[#This Row],[Total_Pendapatan_Bersih]]-Table1[[#This Row],[Total_Biaya]]</f>
        <v>555000</v>
      </c>
      <c r="R449" s="5">
        <f>Table1[[#This Row],[Laba_Kotor]]/Table1[[#This Row],[Total_Pendapatan_Bersih]]</f>
        <v>0.20404411764705882</v>
      </c>
    </row>
    <row r="450" spans="1:18" ht="20.25" thickBot="1" x14ac:dyDescent="0.6">
      <c r="A450" s="3" t="s">
        <v>479</v>
      </c>
      <c r="B450" s="21">
        <v>45882</v>
      </c>
      <c r="C450" s="1" t="s">
        <v>19</v>
      </c>
      <c r="D450" s="1" t="s">
        <v>28</v>
      </c>
      <c r="E450" s="2">
        <v>4</v>
      </c>
      <c r="F450" s="1" t="s">
        <v>21</v>
      </c>
      <c r="G450" s="1" t="str">
        <f>INDEX(Table2[Nama Produk],MATCH(Table1[[#This Row],[SKU]],Table2[SKU],0))</f>
        <v>Kursi Kerja Ergonomis</v>
      </c>
      <c r="H450" s="1" t="str">
        <f>VLOOKUP(Table1[[#This Row],[SKU]],Table2[],3,FALSE)</f>
        <v>Furnitur</v>
      </c>
      <c r="I450" s="37">
        <f>INDEX(Table2[Harga Jual],MATCH(Table1[[#This Row],[SKU]],Table2[SKU],0))</f>
        <v>2100000</v>
      </c>
      <c r="J450" s="37">
        <f>VLOOKUP(Table1[[#This Row],[SKU]],Table2[],4,FALSE)</f>
        <v>1200000</v>
      </c>
      <c r="K450" s="37">
        <f>INDEX(Table3[Biaya Kirim per Unit],MATCH(Table1[[#This Row],[Kota]],Table3[Kota],))</f>
        <v>25000</v>
      </c>
      <c r="L450" s="39">
        <f>VLOOKUP(Table1[[#This Row],[Kode_Promo]],Table4[],2,FALSE)</f>
        <v>0.1</v>
      </c>
      <c r="M450" s="37">
        <f>Table1[[#This Row],[Jumlah_Unit]]*Table1[[#This Row],[Harga_Satuan]]</f>
        <v>8400000</v>
      </c>
      <c r="N450" s="37">
        <f>Table1[[#This Row],[Total_Pendapatan_Kotor]]*Table1[[#This Row],[Persentase_Diskon]]</f>
        <v>840000</v>
      </c>
      <c r="O450" s="37">
        <f>Table1[[#This Row],[Total_Pendapatan_Kotor]]-Table1[[#This Row],[Potongan_Diskon]]</f>
        <v>7560000</v>
      </c>
      <c r="P450" s="37">
        <f>(Table1[[#This Row],[Jumlah_Unit]]*Table1[[#This Row],[HPP_Satuan]])+(Table1[[#This Row],[Jumlah_Unit]]*Table1[[#This Row],[Biaya_Kirim_Satuan]])</f>
        <v>4900000</v>
      </c>
      <c r="Q450" s="37">
        <f>Table1[[#This Row],[Total_Pendapatan_Bersih]]-Table1[[#This Row],[Total_Biaya]]</f>
        <v>2660000</v>
      </c>
      <c r="R450" s="5">
        <f>Table1[[#This Row],[Laba_Kotor]]/Table1[[#This Row],[Total_Pendapatan_Bersih]]</f>
        <v>0.35185185185185186</v>
      </c>
    </row>
    <row r="451" spans="1:18" ht="20.25" thickBot="1" x14ac:dyDescent="0.6">
      <c r="A451" s="3" t="s">
        <v>480</v>
      </c>
      <c r="B451" s="21">
        <v>45889</v>
      </c>
      <c r="C451" s="1" t="s">
        <v>23</v>
      </c>
      <c r="D451" s="1" t="s">
        <v>35</v>
      </c>
      <c r="E451" s="2">
        <v>2</v>
      </c>
      <c r="F451" s="1" t="s">
        <v>25</v>
      </c>
      <c r="G451" s="1" t="str">
        <f>INDEX(Table2[Nama Produk],MATCH(Table1[[#This Row],[SKU]],Table2[SKU],0))</f>
        <v>Meja Adjustable</v>
      </c>
      <c r="H451" s="1" t="str">
        <f>VLOOKUP(Table1[[#This Row],[SKU]],Table2[],3,FALSE)</f>
        <v>Furnitur</v>
      </c>
      <c r="I451" s="37">
        <f>INDEX(Table2[Harga Jual],MATCH(Table1[[#This Row],[SKU]],Table2[SKU],0))</f>
        <v>4200000</v>
      </c>
      <c r="J451" s="37">
        <f>VLOOKUP(Table1[[#This Row],[SKU]],Table2[],4,FALSE)</f>
        <v>2400000</v>
      </c>
      <c r="K451" s="37">
        <f>INDEX(Table3[Biaya Kirim per Unit],MATCH(Table1[[#This Row],[Kota]],Table3[Kota],))</f>
        <v>35000</v>
      </c>
      <c r="L451" s="39">
        <f>VLOOKUP(Table1[[#This Row],[Kode_Promo]],Table4[],2,FALSE)</f>
        <v>0.3</v>
      </c>
      <c r="M451" s="37">
        <f>Table1[[#This Row],[Jumlah_Unit]]*Table1[[#This Row],[Harga_Satuan]]</f>
        <v>8400000</v>
      </c>
      <c r="N451" s="37">
        <f>Table1[[#This Row],[Total_Pendapatan_Kotor]]*Table1[[#This Row],[Persentase_Diskon]]</f>
        <v>2520000</v>
      </c>
      <c r="O451" s="37">
        <f>Table1[[#This Row],[Total_Pendapatan_Kotor]]-Table1[[#This Row],[Potongan_Diskon]]</f>
        <v>5880000</v>
      </c>
      <c r="P451" s="37">
        <f>(Table1[[#This Row],[Jumlah_Unit]]*Table1[[#This Row],[HPP_Satuan]])+(Table1[[#This Row],[Jumlah_Unit]]*Table1[[#This Row],[Biaya_Kirim_Satuan]])</f>
        <v>4870000</v>
      </c>
      <c r="Q451" s="37">
        <f>Table1[[#This Row],[Total_Pendapatan_Bersih]]-Table1[[#This Row],[Total_Biaya]]</f>
        <v>1010000</v>
      </c>
      <c r="R451" s="5">
        <f>Table1[[#This Row],[Laba_Kotor]]/Table1[[#This Row],[Total_Pendapatan_Bersih]]</f>
        <v>0.17176870748299319</v>
      </c>
    </row>
    <row r="452" spans="1:18" ht="20.25" thickBot="1" x14ac:dyDescent="0.6">
      <c r="A452" s="3" t="s">
        <v>481</v>
      </c>
      <c r="B452" s="21">
        <v>45896</v>
      </c>
      <c r="C452" s="1" t="s">
        <v>27</v>
      </c>
      <c r="D452" s="1" t="s">
        <v>20</v>
      </c>
      <c r="E452" s="2">
        <v>3</v>
      </c>
      <c r="F452" s="1" t="s">
        <v>29</v>
      </c>
      <c r="G452" s="1" t="str">
        <f>INDEX(Table2[Nama Produk],MATCH(Table1[[#This Row],[SKU]],Table2[SKU],0))</f>
        <v>Laptop Pro 14</v>
      </c>
      <c r="H452" s="1" t="str">
        <f>VLOOKUP(Table1[[#This Row],[SKU]],Table2[],3,FALSE)</f>
        <v>Elektronik</v>
      </c>
      <c r="I452" s="37">
        <f>INDEX(Table2[Harga Jual],MATCH(Table1[[#This Row],[SKU]],Table2[SKU],0))</f>
        <v>12000000</v>
      </c>
      <c r="J452" s="37">
        <f>VLOOKUP(Table1[[#This Row],[SKU]],Table2[],4,FALSE)</f>
        <v>8500000</v>
      </c>
      <c r="K452" s="37">
        <f>INDEX(Table3[Biaya Kirim per Unit],MATCH(Table1[[#This Row],[Kota]],Table3[Kota],))</f>
        <v>50000</v>
      </c>
      <c r="L452" s="39">
        <f>VLOOKUP(Table1[[#This Row],[Kode_Promo]],Table4[],2,FALSE)</f>
        <v>0</v>
      </c>
      <c r="M452" s="37">
        <f>Table1[[#This Row],[Jumlah_Unit]]*Table1[[#This Row],[Harga_Satuan]]</f>
        <v>36000000</v>
      </c>
      <c r="N452" s="37">
        <f>Table1[[#This Row],[Total_Pendapatan_Kotor]]*Table1[[#This Row],[Persentase_Diskon]]</f>
        <v>0</v>
      </c>
      <c r="O452" s="37">
        <f>Table1[[#This Row],[Total_Pendapatan_Kotor]]-Table1[[#This Row],[Potongan_Diskon]]</f>
        <v>36000000</v>
      </c>
      <c r="P452" s="37">
        <f>(Table1[[#This Row],[Jumlah_Unit]]*Table1[[#This Row],[HPP_Satuan]])+(Table1[[#This Row],[Jumlah_Unit]]*Table1[[#This Row],[Biaya_Kirim_Satuan]])</f>
        <v>25650000</v>
      </c>
      <c r="Q452" s="37">
        <f>Table1[[#This Row],[Total_Pendapatan_Bersih]]-Table1[[#This Row],[Total_Biaya]]</f>
        <v>10350000</v>
      </c>
      <c r="R452" s="5">
        <f>Table1[[#This Row],[Laba_Kotor]]/Table1[[#This Row],[Total_Pendapatan_Bersih]]</f>
        <v>0.28749999999999998</v>
      </c>
    </row>
    <row r="453" spans="1:18" ht="20.25" thickBot="1" x14ac:dyDescent="0.6">
      <c r="A453" s="3" t="s">
        <v>482</v>
      </c>
      <c r="B453" s="21">
        <v>45903</v>
      </c>
      <c r="C453" s="1" t="s">
        <v>31</v>
      </c>
      <c r="D453" s="1" t="s">
        <v>24</v>
      </c>
      <c r="E453" s="2">
        <v>5</v>
      </c>
      <c r="F453" s="1" t="s">
        <v>33</v>
      </c>
      <c r="G453" s="1" t="str">
        <f>INDEX(Table2[Nama Produk],MATCH(Table1[[#This Row],[SKU]],Table2[SKU],0))</f>
        <v>Mechanical Keyboard</v>
      </c>
      <c r="H453" s="1" t="str">
        <f>VLOOKUP(Table1[[#This Row],[SKU]],Table2[],3,FALSE)</f>
        <v>Aksesori</v>
      </c>
      <c r="I453" s="37">
        <f>INDEX(Table2[Harga Jual],MATCH(Table1[[#This Row],[SKU]],Table2[SKU],0))</f>
        <v>850000</v>
      </c>
      <c r="J453" s="37">
        <f>VLOOKUP(Table1[[#This Row],[SKU]],Table2[],4,FALSE)</f>
        <v>450000</v>
      </c>
      <c r="K453" s="37">
        <f>INDEX(Table3[Biaya Kirim per Unit],MATCH(Table1[[#This Row],[Kota]],Table3[Kota],))</f>
        <v>65000</v>
      </c>
      <c r="L453" s="39">
        <f>VLOOKUP(Table1[[#This Row],[Kode_Promo]],Table4[],2,FALSE)</f>
        <v>0.2</v>
      </c>
      <c r="M453" s="37">
        <f>Table1[[#This Row],[Jumlah_Unit]]*Table1[[#This Row],[Harga_Satuan]]</f>
        <v>4250000</v>
      </c>
      <c r="N453" s="37">
        <f>Table1[[#This Row],[Total_Pendapatan_Kotor]]*Table1[[#This Row],[Persentase_Diskon]]</f>
        <v>850000</v>
      </c>
      <c r="O453" s="37">
        <f>Table1[[#This Row],[Total_Pendapatan_Kotor]]-Table1[[#This Row],[Potongan_Diskon]]</f>
        <v>3400000</v>
      </c>
      <c r="P453" s="37">
        <f>(Table1[[#This Row],[Jumlah_Unit]]*Table1[[#This Row],[HPP_Satuan]])+(Table1[[#This Row],[Jumlah_Unit]]*Table1[[#This Row],[Biaya_Kirim_Satuan]])</f>
        <v>2575000</v>
      </c>
      <c r="Q453" s="37">
        <f>Table1[[#This Row],[Total_Pendapatan_Bersih]]-Table1[[#This Row],[Total_Biaya]]</f>
        <v>825000</v>
      </c>
      <c r="R453" s="5">
        <f>Table1[[#This Row],[Laba_Kotor]]/Table1[[#This Row],[Total_Pendapatan_Bersih]]</f>
        <v>0.24264705882352941</v>
      </c>
    </row>
    <row r="454" spans="1:18" ht="20.25" thickBot="1" x14ac:dyDescent="0.6">
      <c r="A454" s="3" t="s">
        <v>483</v>
      </c>
      <c r="B454" s="21">
        <v>45910</v>
      </c>
      <c r="C454" s="1" t="s">
        <v>19</v>
      </c>
      <c r="D454" s="1" t="s">
        <v>32</v>
      </c>
      <c r="E454" s="2">
        <v>2</v>
      </c>
      <c r="F454" s="1" t="s">
        <v>21</v>
      </c>
      <c r="G454" s="1" t="str">
        <f>INDEX(Table2[Nama Produk],MATCH(Table1[[#This Row],[SKU]],Table2[SKU],0))</f>
        <v>Monitor Ergonomis 27</v>
      </c>
      <c r="H454" s="1" t="str">
        <f>VLOOKUP(Table1[[#This Row],[SKU]],Table2[],3,FALSE)</f>
        <v>Elektronik</v>
      </c>
      <c r="I454" s="37">
        <f>INDEX(Table2[Harga Jual],MATCH(Table1[[#This Row],[SKU]],Table2[SKU],0))</f>
        <v>3400000</v>
      </c>
      <c r="J454" s="37">
        <f>VLOOKUP(Table1[[#This Row],[SKU]],Table2[],4,FALSE)</f>
        <v>2100000</v>
      </c>
      <c r="K454" s="37">
        <f>INDEX(Table3[Biaya Kirim per Unit],MATCH(Table1[[#This Row],[Kota]],Table3[Kota],))</f>
        <v>25000</v>
      </c>
      <c r="L454" s="39">
        <f>VLOOKUP(Table1[[#This Row],[Kode_Promo]],Table4[],2,FALSE)</f>
        <v>0.1</v>
      </c>
      <c r="M454" s="37">
        <f>Table1[[#This Row],[Jumlah_Unit]]*Table1[[#This Row],[Harga_Satuan]]</f>
        <v>6800000</v>
      </c>
      <c r="N454" s="37">
        <f>Table1[[#This Row],[Total_Pendapatan_Kotor]]*Table1[[#This Row],[Persentase_Diskon]]</f>
        <v>680000</v>
      </c>
      <c r="O454" s="37">
        <f>Table1[[#This Row],[Total_Pendapatan_Kotor]]-Table1[[#This Row],[Potongan_Diskon]]</f>
        <v>6120000</v>
      </c>
      <c r="P454" s="37">
        <f>(Table1[[#This Row],[Jumlah_Unit]]*Table1[[#This Row],[HPP_Satuan]])+(Table1[[#This Row],[Jumlah_Unit]]*Table1[[#This Row],[Biaya_Kirim_Satuan]])</f>
        <v>4250000</v>
      </c>
      <c r="Q454" s="37">
        <f>Table1[[#This Row],[Total_Pendapatan_Bersih]]-Table1[[#This Row],[Total_Biaya]]</f>
        <v>1870000</v>
      </c>
      <c r="R454" s="5">
        <f>Table1[[#This Row],[Laba_Kotor]]/Table1[[#This Row],[Total_Pendapatan_Bersih]]</f>
        <v>0.30555555555555558</v>
      </c>
    </row>
    <row r="455" spans="1:18" ht="20.25" thickBot="1" x14ac:dyDescent="0.6">
      <c r="A455" s="3" t="s">
        <v>484</v>
      </c>
      <c r="B455" s="21">
        <v>45917</v>
      </c>
      <c r="C455" s="1" t="s">
        <v>23</v>
      </c>
      <c r="D455" s="1" t="s">
        <v>28</v>
      </c>
      <c r="E455" s="2">
        <v>6</v>
      </c>
      <c r="F455" s="1" t="s">
        <v>25</v>
      </c>
      <c r="G455" s="1" t="str">
        <f>INDEX(Table2[Nama Produk],MATCH(Table1[[#This Row],[SKU]],Table2[SKU],0))</f>
        <v>Kursi Kerja Ergonomis</v>
      </c>
      <c r="H455" s="1" t="str">
        <f>VLOOKUP(Table1[[#This Row],[SKU]],Table2[],3,FALSE)</f>
        <v>Furnitur</v>
      </c>
      <c r="I455" s="37">
        <f>INDEX(Table2[Harga Jual],MATCH(Table1[[#This Row],[SKU]],Table2[SKU],0))</f>
        <v>2100000</v>
      </c>
      <c r="J455" s="37">
        <f>VLOOKUP(Table1[[#This Row],[SKU]],Table2[],4,FALSE)</f>
        <v>1200000</v>
      </c>
      <c r="K455" s="37">
        <f>INDEX(Table3[Biaya Kirim per Unit],MATCH(Table1[[#This Row],[Kota]],Table3[Kota],))</f>
        <v>35000</v>
      </c>
      <c r="L455" s="39">
        <f>VLOOKUP(Table1[[#This Row],[Kode_Promo]],Table4[],2,FALSE)</f>
        <v>0.3</v>
      </c>
      <c r="M455" s="37">
        <f>Table1[[#This Row],[Jumlah_Unit]]*Table1[[#This Row],[Harga_Satuan]]</f>
        <v>12600000</v>
      </c>
      <c r="N455" s="37">
        <f>Table1[[#This Row],[Total_Pendapatan_Kotor]]*Table1[[#This Row],[Persentase_Diskon]]</f>
        <v>3780000</v>
      </c>
      <c r="O455" s="37">
        <f>Table1[[#This Row],[Total_Pendapatan_Kotor]]-Table1[[#This Row],[Potongan_Diskon]]</f>
        <v>8820000</v>
      </c>
      <c r="P455" s="37">
        <f>(Table1[[#This Row],[Jumlah_Unit]]*Table1[[#This Row],[HPP_Satuan]])+(Table1[[#This Row],[Jumlah_Unit]]*Table1[[#This Row],[Biaya_Kirim_Satuan]])</f>
        <v>7410000</v>
      </c>
      <c r="Q455" s="37">
        <f>Table1[[#This Row],[Total_Pendapatan_Bersih]]-Table1[[#This Row],[Total_Biaya]]</f>
        <v>1410000</v>
      </c>
      <c r="R455" s="5">
        <f>Table1[[#This Row],[Laba_Kotor]]/Table1[[#This Row],[Total_Pendapatan_Bersih]]</f>
        <v>0.1598639455782313</v>
      </c>
    </row>
    <row r="456" spans="1:18" ht="20.25" thickBot="1" x14ac:dyDescent="0.6">
      <c r="A456" s="3" t="s">
        <v>485</v>
      </c>
      <c r="B456" s="21">
        <v>45924</v>
      </c>
      <c r="C456" s="1" t="s">
        <v>27</v>
      </c>
      <c r="D456" s="1" t="s">
        <v>35</v>
      </c>
      <c r="E456" s="2">
        <v>1</v>
      </c>
      <c r="F456" s="1" t="s">
        <v>29</v>
      </c>
      <c r="G456" s="1" t="str">
        <f>INDEX(Table2[Nama Produk],MATCH(Table1[[#This Row],[SKU]],Table2[SKU],0))</f>
        <v>Meja Adjustable</v>
      </c>
      <c r="H456" s="1" t="str">
        <f>VLOOKUP(Table1[[#This Row],[SKU]],Table2[],3,FALSE)</f>
        <v>Furnitur</v>
      </c>
      <c r="I456" s="37">
        <f>INDEX(Table2[Harga Jual],MATCH(Table1[[#This Row],[SKU]],Table2[SKU],0))</f>
        <v>4200000</v>
      </c>
      <c r="J456" s="37">
        <f>VLOOKUP(Table1[[#This Row],[SKU]],Table2[],4,FALSE)</f>
        <v>2400000</v>
      </c>
      <c r="K456" s="37">
        <f>INDEX(Table3[Biaya Kirim per Unit],MATCH(Table1[[#This Row],[Kota]],Table3[Kota],))</f>
        <v>50000</v>
      </c>
      <c r="L456" s="39">
        <f>VLOOKUP(Table1[[#This Row],[Kode_Promo]],Table4[],2,FALSE)</f>
        <v>0</v>
      </c>
      <c r="M456" s="37">
        <f>Table1[[#This Row],[Jumlah_Unit]]*Table1[[#This Row],[Harga_Satuan]]</f>
        <v>4200000</v>
      </c>
      <c r="N456" s="37">
        <f>Table1[[#This Row],[Total_Pendapatan_Kotor]]*Table1[[#This Row],[Persentase_Diskon]]</f>
        <v>0</v>
      </c>
      <c r="O456" s="37">
        <f>Table1[[#This Row],[Total_Pendapatan_Kotor]]-Table1[[#This Row],[Potongan_Diskon]]</f>
        <v>4200000</v>
      </c>
      <c r="P456" s="37">
        <f>(Table1[[#This Row],[Jumlah_Unit]]*Table1[[#This Row],[HPP_Satuan]])+(Table1[[#This Row],[Jumlah_Unit]]*Table1[[#This Row],[Biaya_Kirim_Satuan]])</f>
        <v>2450000</v>
      </c>
      <c r="Q456" s="37">
        <f>Table1[[#This Row],[Total_Pendapatan_Bersih]]-Table1[[#This Row],[Total_Biaya]]</f>
        <v>1750000</v>
      </c>
      <c r="R456" s="5">
        <f>Table1[[#This Row],[Laba_Kotor]]/Table1[[#This Row],[Total_Pendapatan_Bersih]]</f>
        <v>0.41666666666666669</v>
      </c>
    </row>
    <row r="457" spans="1:18" ht="20.25" thickBot="1" x14ac:dyDescent="0.6">
      <c r="A457" s="3" t="s">
        <v>486</v>
      </c>
      <c r="B457" s="21">
        <v>45931</v>
      </c>
      <c r="C457" s="1" t="s">
        <v>31</v>
      </c>
      <c r="D457" s="1" t="s">
        <v>20</v>
      </c>
      <c r="E457" s="2">
        <v>4</v>
      </c>
      <c r="F457" s="1" t="s">
        <v>33</v>
      </c>
      <c r="G457" s="1" t="str">
        <f>INDEX(Table2[Nama Produk],MATCH(Table1[[#This Row],[SKU]],Table2[SKU],0))</f>
        <v>Laptop Pro 14</v>
      </c>
      <c r="H457" s="1" t="str">
        <f>VLOOKUP(Table1[[#This Row],[SKU]],Table2[],3,FALSE)</f>
        <v>Elektronik</v>
      </c>
      <c r="I457" s="37">
        <f>INDEX(Table2[Harga Jual],MATCH(Table1[[#This Row],[SKU]],Table2[SKU],0))</f>
        <v>12000000</v>
      </c>
      <c r="J457" s="37">
        <f>VLOOKUP(Table1[[#This Row],[SKU]],Table2[],4,FALSE)</f>
        <v>8500000</v>
      </c>
      <c r="K457" s="37">
        <f>INDEX(Table3[Biaya Kirim per Unit],MATCH(Table1[[#This Row],[Kota]],Table3[Kota],))</f>
        <v>65000</v>
      </c>
      <c r="L457" s="39">
        <f>VLOOKUP(Table1[[#This Row],[Kode_Promo]],Table4[],2,FALSE)</f>
        <v>0.2</v>
      </c>
      <c r="M457" s="37">
        <f>Table1[[#This Row],[Jumlah_Unit]]*Table1[[#This Row],[Harga_Satuan]]</f>
        <v>48000000</v>
      </c>
      <c r="N457" s="37">
        <f>Table1[[#This Row],[Total_Pendapatan_Kotor]]*Table1[[#This Row],[Persentase_Diskon]]</f>
        <v>9600000</v>
      </c>
      <c r="O457" s="37">
        <f>Table1[[#This Row],[Total_Pendapatan_Kotor]]-Table1[[#This Row],[Potongan_Diskon]]</f>
        <v>38400000</v>
      </c>
      <c r="P457" s="37">
        <f>(Table1[[#This Row],[Jumlah_Unit]]*Table1[[#This Row],[HPP_Satuan]])+(Table1[[#This Row],[Jumlah_Unit]]*Table1[[#This Row],[Biaya_Kirim_Satuan]])</f>
        <v>34260000</v>
      </c>
      <c r="Q457" s="37">
        <f>Table1[[#This Row],[Total_Pendapatan_Bersih]]-Table1[[#This Row],[Total_Biaya]]</f>
        <v>4140000</v>
      </c>
      <c r="R457" s="5">
        <f>Table1[[#This Row],[Laba_Kotor]]/Table1[[#This Row],[Total_Pendapatan_Bersih]]</f>
        <v>0.10781250000000001</v>
      </c>
    </row>
    <row r="458" spans="1:18" ht="20.25" thickBot="1" x14ac:dyDescent="0.6">
      <c r="A458" s="3" t="s">
        <v>487</v>
      </c>
      <c r="B458" s="21">
        <v>45938</v>
      </c>
      <c r="C458" s="1" t="s">
        <v>19</v>
      </c>
      <c r="D458" s="1" t="s">
        <v>24</v>
      </c>
      <c r="E458" s="2">
        <v>3</v>
      </c>
      <c r="F458" s="1" t="s">
        <v>21</v>
      </c>
      <c r="G458" s="1" t="str">
        <f>INDEX(Table2[Nama Produk],MATCH(Table1[[#This Row],[SKU]],Table2[SKU],0))</f>
        <v>Mechanical Keyboard</v>
      </c>
      <c r="H458" s="1" t="str">
        <f>VLOOKUP(Table1[[#This Row],[SKU]],Table2[],3,FALSE)</f>
        <v>Aksesori</v>
      </c>
      <c r="I458" s="37">
        <f>INDEX(Table2[Harga Jual],MATCH(Table1[[#This Row],[SKU]],Table2[SKU],0))</f>
        <v>850000</v>
      </c>
      <c r="J458" s="37">
        <f>VLOOKUP(Table1[[#This Row],[SKU]],Table2[],4,FALSE)</f>
        <v>450000</v>
      </c>
      <c r="K458" s="37">
        <f>INDEX(Table3[Biaya Kirim per Unit],MATCH(Table1[[#This Row],[Kota]],Table3[Kota],))</f>
        <v>25000</v>
      </c>
      <c r="L458" s="39">
        <f>VLOOKUP(Table1[[#This Row],[Kode_Promo]],Table4[],2,FALSE)</f>
        <v>0.1</v>
      </c>
      <c r="M458" s="37">
        <f>Table1[[#This Row],[Jumlah_Unit]]*Table1[[#This Row],[Harga_Satuan]]</f>
        <v>2550000</v>
      </c>
      <c r="N458" s="37">
        <f>Table1[[#This Row],[Total_Pendapatan_Kotor]]*Table1[[#This Row],[Persentase_Diskon]]</f>
        <v>255000</v>
      </c>
      <c r="O458" s="37">
        <f>Table1[[#This Row],[Total_Pendapatan_Kotor]]-Table1[[#This Row],[Potongan_Diskon]]</f>
        <v>2295000</v>
      </c>
      <c r="P458" s="37">
        <f>(Table1[[#This Row],[Jumlah_Unit]]*Table1[[#This Row],[HPP_Satuan]])+(Table1[[#This Row],[Jumlah_Unit]]*Table1[[#This Row],[Biaya_Kirim_Satuan]])</f>
        <v>1425000</v>
      </c>
      <c r="Q458" s="37">
        <f>Table1[[#This Row],[Total_Pendapatan_Bersih]]-Table1[[#This Row],[Total_Biaya]]</f>
        <v>870000</v>
      </c>
      <c r="R458" s="5">
        <f>Table1[[#This Row],[Laba_Kotor]]/Table1[[#This Row],[Total_Pendapatan_Bersih]]</f>
        <v>0.37908496732026142</v>
      </c>
    </row>
    <row r="459" spans="1:18" ht="20.25" thickBot="1" x14ac:dyDescent="0.6">
      <c r="A459" s="3" t="s">
        <v>488</v>
      </c>
      <c r="B459" s="21">
        <v>45945</v>
      </c>
      <c r="C459" s="1" t="s">
        <v>23</v>
      </c>
      <c r="D459" s="1" t="s">
        <v>32</v>
      </c>
      <c r="E459" s="2">
        <v>5</v>
      </c>
      <c r="F459" s="1" t="s">
        <v>25</v>
      </c>
      <c r="G459" s="1" t="str">
        <f>INDEX(Table2[Nama Produk],MATCH(Table1[[#This Row],[SKU]],Table2[SKU],0))</f>
        <v>Monitor Ergonomis 27</v>
      </c>
      <c r="H459" s="1" t="str">
        <f>VLOOKUP(Table1[[#This Row],[SKU]],Table2[],3,FALSE)</f>
        <v>Elektronik</v>
      </c>
      <c r="I459" s="37">
        <f>INDEX(Table2[Harga Jual],MATCH(Table1[[#This Row],[SKU]],Table2[SKU],0))</f>
        <v>3400000</v>
      </c>
      <c r="J459" s="37">
        <f>VLOOKUP(Table1[[#This Row],[SKU]],Table2[],4,FALSE)</f>
        <v>2100000</v>
      </c>
      <c r="K459" s="37">
        <f>INDEX(Table3[Biaya Kirim per Unit],MATCH(Table1[[#This Row],[Kota]],Table3[Kota],))</f>
        <v>35000</v>
      </c>
      <c r="L459" s="39">
        <f>VLOOKUP(Table1[[#This Row],[Kode_Promo]],Table4[],2,FALSE)</f>
        <v>0.3</v>
      </c>
      <c r="M459" s="37">
        <f>Table1[[#This Row],[Jumlah_Unit]]*Table1[[#This Row],[Harga_Satuan]]</f>
        <v>17000000</v>
      </c>
      <c r="N459" s="37">
        <f>Table1[[#This Row],[Total_Pendapatan_Kotor]]*Table1[[#This Row],[Persentase_Diskon]]</f>
        <v>5100000</v>
      </c>
      <c r="O459" s="37">
        <f>Table1[[#This Row],[Total_Pendapatan_Kotor]]-Table1[[#This Row],[Potongan_Diskon]]</f>
        <v>11900000</v>
      </c>
      <c r="P459" s="37">
        <f>(Table1[[#This Row],[Jumlah_Unit]]*Table1[[#This Row],[HPP_Satuan]])+(Table1[[#This Row],[Jumlah_Unit]]*Table1[[#This Row],[Biaya_Kirim_Satuan]])</f>
        <v>10675000</v>
      </c>
      <c r="Q459" s="37">
        <f>Table1[[#This Row],[Total_Pendapatan_Bersih]]-Table1[[#This Row],[Total_Biaya]]</f>
        <v>1225000</v>
      </c>
      <c r="R459" s="5">
        <f>Table1[[#This Row],[Laba_Kotor]]/Table1[[#This Row],[Total_Pendapatan_Bersih]]</f>
        <v>0.10294117647058823</v>
      </c>
    </row>
    <row r="460" spans="1:18" ht="20.25" thickBot="1" x14ac:dyDescent="0.6">
      <c r="A460" s="3" t="s">
        <v>489</v>
      </c>
      <c r="B460" s="21">
        <v>45952</v>
      </c>
      <c r="C460" s="1" t="s">
        <v>27</v>
      </c>
      <c r="D460" s="1" t="s">
        <v>28</v>
      </c>
      <c r="E460" s="2">
        <v>2</v>
      </c>
      <c r="F460" s="1" t="s">
        <v>29</v>
      </c>
      <c r="G460" s="1" t="str">
        <f>INDEX(Table2[Nama Produk],MATCH(Table1[[#This Row],[SKU]],Table2[SKU],0))</f>
        <v>Kursi Kerja Ergonomis</v>
      </c>
      <c r="H460" s="1" t="str">
        <f>VLOOKUP(Table1[[#This Row],[SKU]],Table2[],3,FALSE)</f>
        <v>Furnitur</v>
      </c>
      <c r="I460" s="37">
        <f>INDEX(Table2[Harga Jual],MATCH(Table1[[#This Row],[SKU]],Table2[SKU],0))</f>
        <v>2100000</v>
      </c>
      <c r="J460" s="37">
        <f>VLOOKUP(Table1[[#This Row],[SKU]],Table2[],4,FALSE)</f>
        <v>1200000</v>
      </c>
      <c r="K460" s="37">
        <f>INDEX(Table3[Biaya Kirim per Unit],MATCH(Table1[[#This Row],[Kota]],Table3[Kota],))</f>
        <v>50000</v>
      </c>
      <c r="L460" s="39">
        <f>VLOOKUP(Table1[[#This Row],[Kode_Promo]],Table4[],2,FALSE)</f>
        <v>0</v>
      </c>
      <c r="M460" s="37">
        <f>Table1[[#This Row],[Jumlah_Unit]]*Table1[[#This Row],[Harga_Satuan]]</f>
        <v>4200000</v>
      </c>
      <c r="N460" s="37">
        <f>Table1[[#This Row],[Total_Pendapatan_Kotor]]*Table1[[#This Row],[Persentase_Diskon]]</f>
        <v>0</v>
      </c>
      <c r="O460" s="37">
        <f>Table1[[#This Row],[Total_Pendapatan_Kotor]]-Table1[[#This Row],[Potongan_Diskon]]</f>
        <v>4200000</v>
      </c>
      <c r="P460" s="37">
        <f>(Table1[[#This Row],[Jumlah_Unit]]*Table1[[#This Row],[HPP_Satuan]])+(Table1[[#This Row],[Jumlah_Unit]]*Table1[[#This Row],[Biaya_Kirim_Satuan]])</f>
        <v>2500000</v>
      </c>
      <c r="Q460" s="37">
        <f>Table1[[#This Row],[Total_Pendapatan_Bersih]]-Table1[[#This Row],[Total_Biaya]]</f>
        <v>1700000</v>
      </c>
      <c r="R460" s="5">
        <f>Table1[[#This Row],[Laba_Kotor]]/Table1[[#This Row],[Total_Pendapatan_Bersih]]</f>
        <v>0.40476190476190477</v>
      </c>
    </row>
    <row r="461" spans="1:18" ht="20.25" thickBot="1" x14ac:dyDescent="0.6">
      <c r="A461" s="3" t="s">
        <v>490</v>
      </c>
      <c r="B461" s="21">
        <v>45959</v>
      </c>
      <c r="C461" s="1" t="s">
        <v>31</v>
      </c>
      <c r="D461" s="1" t="s">
        <v>35</v>
      </c>
      <c r="E461" s="2">
        <v>3</v>
      </c>
      <c r="F461" s="1" t="s">
        <v>33</v>
      </c>
      <c r="G461" s="1" t="str">
        <f>INDEX(Table2[Nama Produk],MATCH(Table1[[#This Row],[SKU]],Table2[SKU],0))</f>
        <v>Meja Adjustable</v>
      </c>
      <c r="H461" s="1" t="str">
        <f>VLOOKUP(Table1[[#This Row],[SKU]],Table2[],3,FALSE)</f>
        <v>Furnitur</v>
      </c>
      <c r="I461" s="37">
        <f>INDEX(Table2[Harga Jual],MATCH(Table1[[#This Row],[SKU]],Table2[SKU],0))</f>
        <v>4200000</v>
      </c>
      <c r="J461" s="37">
        <f>VLOOKUP(Table1[[#This Row],[SKU]],Table2[],4,FALSE)</f>
        <v>2400000</v>
      </c>
      <c r="K461" s="37">
        <f>INDEX(Table3[Biaya Kirim per Unit],MATCH(Table1[[#This Row],[Kota]],Table3[Kota],))</f>
        <v>65000</v>
      </c>
      <c r="L461" s="39">
        <f>VLOOKUP(Table1[[#This Row],[Kode_Promo]],Table4[],2,FALSE)</f>
        <v>0.2</v>
      </c>
      <c r="M461" s="37">
        <f>Table1[[#This Row],[Jumlah_Unit]]*Table1[[#This Row],[Harga_Satuan]]</f>
        <v>12600000</v>
      </c>
      <c r="N461" s="37">
        <f>Table1[[#This Row],[Total_Pendapatan_Kotor]]*Table1[[#This Row],[Persentase_Diskon]]</f>
        <v>2520000</v>
      </c>
      <c r="O461" s="37">
        <f>Table1[[#This Row],[Total_Pendapatan_Kotor]]-Table1[[#This Row],[Potongan_Diskon]]</f>
        <v>10080000</v>
      </c>
      <c r="P461" s="37">
        <f>(Table1[[#This Row],[Jumlah_Unit]]*Table1[[#This Row],[HPP_Satuan]])+(Table1[[#This Row],[Jumlah_Unit]]*Table1[[#This Row],[Biaya_Kirim_Satuan]])</f>
        <v>7395000</v>
      </c>
      <c r="Q461" s="37">
        <f>Table1[[#This Row],[Total_Pendapatan_Bersih]]-Table1[[#This Row],[Total_Biaya]]</f>
        <v>2685000</v>
      </c>
      <c r="R461" s="5">
        <f>Table1[[#This Row],[Laba_Kotor]]/Table1[[#This Row],[Total_Pendapatan_Bersih]]</f>
        <v>0.26636904761904762</v>
      </c>
    </row>
    <row r="462" spans="1:18" ht="20.25" thickBot="1" x14ac:dyDescent="0.6">
      <c r="A462" s="3" t="s">
        <v>491</v>
      </c>
      <c r="B462" s="21">
        <v>45966</v>
      </c>
      <c r="C462" s="1" t="s">
        <v>19</v>
      </c>
      <c r="D462" s="1" t="s">
        <v>20</v>
      </c>
      <c r="E462" s="2">
        <v>2</v>
      </c>
      <c r="F462" s="1" t="s">
        <v>21</v>
      </c>
      <c r="G462" s="1" t="str">
        <f>INDEX(Table2[Nama Produk],MATCH(Table1[[#This Row],[SKU]],Table2[SKU],0))</f>
        <v>Laptop Pro 14</v>
      </c>
      <c r="H462" s="1" t="str">
        <f>VLOOKUP(Table1[[#This Row],[SKU]],Table2[],3,FALSE)</f>
        <v>Elektronik</v>
      </c>
      <c r="I462" s="37">
        <f>INDEX(Table2[Harga Jual],MATCH(Table1[[#This Row],[SKU]],Table2[SKU],0))</f>
        <v>12000000</v>
      </c>
      <c r="J462" s="37">
        <f>VLOOKUP(Table1[[#This Row],[SKU]],Table2[],4,FALSE)</f>
        <v>8500000</v>
      </c>
      <c r="K462" s="37">
        <f>INDEX(Table3[Biaya Kirim per Unit],MATCH(Table1[[#This Row],[Kota]],Table3[Kota],))</f>
        <v>25000</v>
      </c>
      <c r="L462" s="39">
        <f>VLOOKUP(Table1[[#This Row],[Kode_Promo]],Table4[],2,FALSE)</f>
        <v>0.1</v>
      </c>
      <c r="M462" s="37">
        <f>Table1[[#This Row],[Jumlah_Unit]]*Table1[[#This Row],[Harga_Satuan]]</f>
        <v>24000000</v>
      </c>
      <c r="N462" s="37">
        <f>Table1[[#This Row],[Total_Pendapatan_Kotor]]*Table1[[#This Row],[Persentase_Diskon]]</f>
        <v>2400000</v>
      </c>
      <c r="O462" s="37">
        <f>Table1[[#This Row],[Total_Pendapatan_Kotor]]-Table1[[#This Row],[Potongan_Diskon]]</f>
        <v>21600000</v>
      </c>
      <c r="P462" s="37">
        <f>(Table1[[#This Row],[Jumlah_Unit]]*Table1[[#This Row],[HPP_Satuan]])+(Table1[[#This Row],[Jumlah_Unit]]*Table1[[#This Row],[Biaya_Kirim_Satuan]])</f>
        <v>17050000</v>
      </c>
      <c r="Q462" s="37">
        <f>Table1[[#This Row],[Total_Pendapatan_Bersih]]-Table1[[#This Row],[Total_Biaya]]</f>
        <v>4550000</v>
      </c>
      <c r="R462" s="5">
        <f>Table1[[#This Row],[Laba_Kotor]]/Table1[[#This Row],[Total_Pendapatan_Bersih]]</f>
        <v>0.21064814814814814</v>
      </c>
    </row>
    <row r="463" spans="1:18" ht="20.25" thickBot="1" x14ac:dyDescent="0.6">
      <c r="A463" s="3" t="s">
        <v>492</v>
      </c>
      <c r="B463" s="21">
        <v>45973</v>
      </c>
      <c r="C463" s="1" t="s">
        <v>23</v>
      </c>
      <c r="D463" s="1" t="s">
        <v>24</v>
      </c>
      <c r="E463" s="2">
        <v>7</v>
      </c>
      <c r="F463" s="1" t="s">
        <v>25</v>
      </c>
      <c r="G463" s="1" t="str">
        <f>INDEX(Table2[Nama Produk],MATCH(Table1[[#This Row],[SKU]],Table2[SKU],0))</f>
        <v>Mechanical Keyboard</v>
      </c>
      <c r="H463" s="1" t="str">
        <f>VLOOKUP(Table1[[#This Row],[SKU]],Table2[],3,FALSE)</f>
        <v>Aksesori</v>
      </c>
      <c r="I463" s="37">
        <f>INDEX(Table2[Harga Jual],MATCH(Table1[[#This Row],[SKU]],Table2[SKU],0))</f>
        <v>850000</v>
      </c>
      <c r="J463" s="37">
        <f>VLOOKUP(Table1[[#This Row],[SKU]],Table2[],4,FALSE)</f>
        <v>450000</v>
      </c>
      <c r="K463" s="37">
        <f>INDEX(Table3[Biaya Kirim per Unit],MATCH(Table1[[#This Row],[Kota]],Table3[Kota],))</f>
        <v>35000</v>
      </c>
      <c r="L463" s="39">
        <f>VLOOKUP(Table1[[#This Row],[Kode_Promo]],Table4[],2,FALSE)</f>
        <v>0.3</v>
      </c>
      <c r="M463" s="37">
        <f>Table1[[#This Row],[Jumlah_Unit]]*Table1[[#This Row],[Harga_Satuan]]</f>
        <v>5950000</v>
      </c>
      <c r="N463" s="37">
        <f>Table1[[#This Row],[Total_Pendapatan_Kotor]]*Table1[[#This Row],[Persentase_Diskon]]</f>
        <v>1785000</v>
      </c>
      <c r="O463" s="37">
        <f>Table1[[#This Row],[Total_Pendapatan_Kotor]]-Table1[[#This Row],[Potongan_Diskon]]</f>
        <v>4165000</v>
      </c>
      <c r="P463" s="37">
        <f>(Table1[[#This Row],[Jumlah_Unit]]*Table1[[#This Row],[HPP_Satuan]])+(Table1[[#This Row],[Jumlah_Unit]]*Table1[[#This Row],[Biaya_Kirim_Satuan]])</f>
        <v>3395000</v>
      </c>
      <c r="Q463" s="37">
        <f>Table1[[#This Row],[Total_Pendapatan_Bersih]]-Table1[[#This Row],[Total_Biaya]]</f>
        <v>770000</v>
      </c>
      <c r="R463" s="5">
        <f>Table1[[#This Row],[Laba_Kotor]]/Table1[[#This Row],[Total_Pendapatan_Bersih]]</f>
        <v>0.18487394957983194</v>
      </c>
    </row>
    <row r="464" spans="1:18" ht="20.25" thickBot="1" x14ac:dyDescent="0.6">
      <c r="A464" s="3" t="s">
        <v>493</v>
      </c>
      <c r="B464" s="21">
        <v>45980</v>
      </c>
      <c r="C464" s="1" t="s">
        <v>27</v>
      </c>
      <c r="D464" s="1" t="s">
        <v>32</v>
      </c>
      <c r="E464" s="2">
        <v>4</v>
      </c>
      <c r="F464" s="1" t="s">
        <v>29</v>
      </c>
      <c r="G464" s="1" t="str">
        <f>INDEX(Table2[Nama Produk],MATCH(Table1[[#This Row],[SKU]],Table2[SKU],0))</f>
        <v>Monitor Ergonomis 27</v>
      </c>
      <c r="H464" s="1" t="str">
        <f>VLOOKUP(Table1[[#This Row],[SKU]],Table2[],3,FALSE)</f>
        <v>Elektronik</v>
      </c>
      <c r="I464" s="37">
        <f>INDEX(Table2[Harga Jual],MATCH(Table1[[#This Row],[SKU]],Table2[SKU],0))</f>
        <v>3400000</v>
      </c>
      <c r="J464" s="37">
        <f>VLOOKUP(Table1[[#This Row],[SKU]],Table2[],4,FALSE)</f>
        <v>2100000</v>
      </c>
      <c r="K464" s="37">
        <f>INDEX(Table3[Biaya Kirim per Unit],MATCH(Table1[[#This Row],[Kota]],Table3[Kota],))</f>
        <v>50000</v>
      </c>
      <c r="L464" s="39">
        <f>VLOOKUP(Table1[[#This Row],[Kode_Promo]],Table4[],2,FALSE)</f>
        <v>0</v>
      </c>
      <c r="M464" s="37">
        <f>Table1[[#This Row],[Jumlah_Unit]]*Table1[[#This Row],[Harga_Satuan]]</f>
        <v>13600000</v>
      </c>
      <c r="N464" s="37">
        <f>Table1[[#This Row],[Total_Pendapatan_Kotor]]*Table1[[#This Row],[Persentase_Diskon]]</f>
        <v>0</v>
      </c>
      <c r="O464" s="37">
        <f>Table1[[#This Row],[Total_Pendapatan_Kotor]]-Table1[[#This Row],[Potongan_Diskon]]</f>
        <v>13600000</v>
      </c>
      <c r="P464" s="37">
        <f>(Table1[[#This Row],[Jumlah_Unit]]*Table1[[#This Row],[HPP_Satuan]])+(Table1[[#This Row],[Jumlah_Unit]]*Table1[[#This Row],[Biaya_Kirim_Satuan]])</f>
        <v>8600000</v>
      </c>
      <c r="Q464" s="37">
        <f>Table1[[#This Row],[Total_Pendapatan_Bersih]]-Table1[[#This Row],[Total_Biaya]]</f>
        <v>5000000</v>
      </c>
      <c r="R464" s="5">
        <f>Table1[[#This Row],[Laba_Kotor]]/Table1[[#This Row],[Total_Pendapatan_Bersih]]</f>
        <v>0.36764705882352944</v>
      </c>
    </row>
    <row r="465" spans="1:18" ht="20.25" thickBot="1" x14ac:dyDescent="0.6">
      <c r="A465" s="3" t="s">
        <v>494</v>
      </c>
      <c r="B465" s="21">
        <v>45987</v>
      </c>
      <c r="C465" s="1" t="s">
        <v>31</v>
      </c>
      <c r="D465" s="1" t="s">
        <v>28</v>
      </c>
      <c r="E465" s="2">
        <v>1</v>
      </c>
      <c r="F465" s="1" t="s">
        <v>33</v>
      </c>
      <c r="G465" s="1" t="str">
        <f>INDEX(Table2[Nama Produk],MATCH(Table1[[#This Row],[SKU]],Table2[SKU],0))</f>
        <v>Kursi Kerja Ergonomis</v>
      </c>
      <c r="H465" s="1" t="str">
        <f>VLOOKUP(Table1[[#This Row],[SKU]],Table2[],3,FALSE)</f>
        <v>Furnitur</v>
      </c>
      <c r="I465" s="37">
        <f>INDEX(Table2[Harga Jual],MATCH(Table1[[#This Row],[SKU]],Table2[SKU],0))</f>
        <v>2100000</v>
      </c>
      <c r="J465" s="37">
        <f>VLOOKUP(Table1[[#This Row],[SKU]],Table2[],4,FALSE)</f>
        <v>1200000</v>
      </c>
      <c r="K465" s="37">
        <f>INDEX(Table3[Biaya Kirim per Unit],MATCH(Table1[[#This Row],[Kota]],Table3[Kota],))</f>
        <v>65000</v>
      </c>
      <c r="L465" s="39">
        <f>VLOOKUP(Table1[[#This Row],[Kode_Promo]],Table4[],2,FALSE)</f>
        <v>0.2</v>
      </c>
      <c r="M465" s="37">
        <f>Table1[[#This Row],[Jumlah_Unit]]*Table1[[#This Row],[Harga_Satuan]]</f>
        <v>2100000</v>
      </c>
      <c r="N465" s="37">
        <f>Table1[[#This Row],[Total_Pendapatan_Kotor]]*Table1[[#This Row],[Persentase_Diskon]]</f>
        <v>420000</v>
      </c>
      <c r="O465" s="37">
        <f>Table1[[#This Row],[Total_Pendapatan_Kotor]]-Table1[[#This Row],[Potongan_Diskon]]</f>
        <v>1680000</v>
      </c>
      <c r="P465" s="37">
        <f>(Table1[[#This Row],[Jumlah_Unit]]*Table1[[#This Row],[HPP_Satuan]])+(Table1[[#This Row],[Jumlah_Unit]]*Table1[[#This Row],[Biaya_Kirim_Satuan]])</f>
        <v>1265000</v>
      </c>
      <c r="Q465" s="37">
        <f>Table1[[#This Row],[Total_Pendapatan_Bersih]]-Table1[[#This Row],[Total_Biaya]]</f>
        <v>415000</v>
      </c>
      <c r="R465" s="5">
        <f>Table1[[#This Row],[Laba_Kotor]]/Table1[[#This Row],[Total_Pendapatan_Bersih]]</f>
        <v>0.24702380952380953</v>
      </c>
    </row>
    <row r="466" spans="1:18" ht="20.25" thickBot="1" x14ac:dyDescent="0.6">
      <c r="A466" s="3" t="s">
        <v>495</v>
      </c>
      <c r="B466" s="21">
        <v>45994</v>
      </c>
      <c r="C466" s="1" t="s">
        <v>19</v>
      </c>
      <c r="D466" s="1" t="s">
        <v>35</v>
      </c>
      <c r="E466" s="2">
        <v>2</v>
      </c>
      <c r="F466" s="1" t="s">
        <v>21</v>
      </c>
      <c r="G466" s="1" t="str">
        <f>INDEX(Table2[Nama Produk],MATCH(Table1[[#This Row],[SKU]],Table2[SKU],0))</f>
        <v>Meja Adjustable</v>
      </c>
      <c r="H466" s="1" t="str">
        <f>VLOOKUP(Table1[[#This Row],[SKU]],Table2[],3,FALSE)</f>
        <v>Furnitur</v>
      </c>
      <c r="I466" s="37">
        <f>INDEX(Table2[Harga Jual],MATCH(Table1[[#This Row],[SKU]],Table2[SKU],0))</f>
        <v>4200000</v>
      </c>
      <c r="J466" s="37">
        <f>VLOOKUP(Table1[[#This Row],[SKU]],Table2[],4,FALSE)</f>
        <v>2400000</v>
      </c>
      <c r="K466" s="37">
        <f>INDEX(Table3[Biaya Kirim per Unit],MATCH(Table1[[#This Row],[Kota]],Table3[Kota],))</f>
        <v>25000</v>
      </c>
      <c r="L466" s="39">
        <f>VLOOKUP(Table1[[#This Row],[Kode_Promo]],Table4[],2,FALSE)</f>
        <v>0.1</v>
      </c>
      <c r="M466" s="37">
        <f>Table1[[#This Row],[Jumlah_Unit]]*Table1[[#This Row],[Harga_Satuan]]</f>
        <v>8400000</v>
      </c>
      <c r="N466" s="37">
        <f>Table1[[#This Row],[Total_Pendapatan_Kotor]]*Table1[[#This Row],[Persentase_Diskon]]</f>
        <v>840000</v>
      </c>
      <c r="O466" s="37">
        <f>Table1[[#This Row],[Total_Pendapatan_Kotor]]-Table1[[#This Row],[Potongan_Diskon]]</f>
        <v>7560000</v>
      </c>
      <c r="P466" s="37">
        <f>(Table1[[#This Row],[Jumlah_Unit]]*Table1[[#This Row],[HPP_Satuan]])+(Table1[[#This Row],[Jumlah_Unit]]*Table1[[#This Row],[Biaya_Kirim_Satuan]])</f>
        <v>4850000</v>
      </c>
      <c r="Q466" s="37">
        <f>Table1[[#This Row],[Total_Pendapatan_Bersih]]-Table1[[#This Row],[Total_Biaya]]</f>
        <v>2710000</v>
      </c>
      <c r="R466" s="5">
        <f>Table1[[#This Row],[Laba_Kotor]]/Table1[[#This Row],[Total_Pendapatan_Bersih]]</f>
        <v>0.35846560846560849</v>
      </c>
    </row>
    <row r="467" spans="1:18" ht="20.25" thickBot="1" x14ac:dyDescent="0.6">
      <c r="A467" s="3" t="s">
        <v>496</v>
      </c>
      <c r="B467" s="21">
        <v>46001</v>
      </c>
      <c r="C467" s="1" t="s">
        <v>23</v>
      </c>
      <c r="D467" s="1" t="s">
        <v>20</v>
      </c>
      <c r="E467" s="2">
        <v>3</v>
      </c>
      <c r="F467" s="1" t="s">
        <v>29</v>
      </c>
      <c r="G467" s="1" t="str">
        <f>INDEX(Table2[Nama Produk],MATCH(Table1[[#This Row],[SKU]],Table2[SKU],0))</f>
        <v>Laptop Pro 14</v>
      </c>
      <c r="H467" s="1" t="str">
        <f>VLOOKUP(Table1[[#This Row],[SKU]],Table2[],3,FALSE)</f>
        <v>Elektronik</v>
      </c>
      <c r="I467" s="37">
        <f>INDEX(Table2[Harga Jual],MATCH(Table1[[#This Row],[SKU]],Table2[SKU],0))</f>
        <v>12000000</v>
      </c>
      <c r="J467" s="37">
        <f>VLOOKUP(Table1[[#This Row],[SKU]],Table2[],4,FALSE)</f>
        <v>8500000</v>
      </c>
      <c r="K467" s="37">
        <f>INDEX(Table3[Biaya Kirim per Unit],MATCH(Table1[[#This Row],[Kota]],Table3[Kota],))</f>
        <v>35000</v>
      </c>
      <c r="L467" s="39">
        <f>VLOOKUP(Table1[[#This Row],[Kode_Promo]],Table4[],2,FALSE)</f>
        <v>0</v>
      </c>
      <c r="M467" s="37">
        <f>Table1[[#This Row],[Jumlah_Unit]]*Table1[[#This Row],[Harga_Satuan]]</f>
        <v>36000000</v>
      </c>
      <c r="N467" s="37">
        <f>Table1[[#This Row],[Total_Pendapatan_Kotor]]*Table1[[#This Row],[Persentase_Diskon]]</f>
        <v>0</v>
      </c>
      <c r="O467" s="37">
        <f>Table1[[#This Row],[Total_Pendapatan_Kotor]]-Table1[[#This Row],[Potongan_Diskon]]</f>
        <v>36000000</v>
      </c>
      <c r="P467" s="37">
        <f>(Table1[[#This Row],[Jumlah_Unit]]*Table1[[#This Row],[HPP_Satuan]])+(Table1[[#This Row],[Jumlah_Unit]]*Table1[[#This Row],[Biaya_Kirim_Satuan]])</f>
        <v>25605000</v>
      </c>
      <c r="Q467" s="37">
        <f>Table1[[#This Row],[Total_Pendapatan_Bersih]]-Table1[[#This Row],[Total_Biaya]]</f>
        <v>10395000</v>
      </c>
      <c r="R467" s="5">
        <f>Table1[[#This Row],[Laba_Kotor]]/Table1[[#This Row],[Total_Pendapatan_Bersih]]</f>
        <v>0.28875000000000001</v>
      </c>
    </row>
    <row r="468" spans="1:18" ht="20.25" thickBot="1" x14ac:dyDescent="0.6">
      <c r="A468" s="3" t="s">
        <v>497</v>
      </c>
      <c r="B468" s="21">
        <v>46008</v>
      </c>
      <c r="C468" s="1" t="s">
        <v>27</v>
      </c>
      <c r="D468" s="1" t="s">
        <v>24</v>
      </c>
      <c r="E468" s="2">
        <v>8</v>
      </c>
      <c r="F468" s="1" t="s">
        <v>25</v>
      </c>
      <c r="G468" s="1" t="str">
        <f>INDEX(Table2[Nama Produk],MATCH(Table1[[#This Row],[SKU]],Table2[SKU],0))</f>
        <v>Mechanical Keyboard</v>
      </c>
      <c r="H468" s="1" t="str">
        <f>VLOOKUP(Table1[[#This Row],[SKU]],Table2[],3,FALSE)</f>
        <v>Aksesori</v>
      </c>
      <c r="I468" s="37">
        <f>INDEX(Table2[Harga Jual],MATCH(Table1[[#This Row],[SKU]],Table2[SKU],0))</f>
        <v>850000</v>
      </c>
      <c r="J468" s="37">
        <f>VLOOKUP(Table1[[#This Row],[SKU]],Table2[],4,FALSE)</f>
        <v>450000</v>
      </c>
      <c r="K468" s="37">
        <f>INDEX(Table3[Biaya Kirim per Unit],MATCH(Table1[[#This Row],[Kota]],Table3[Kota],))</f>
        <v>50000</v>
      </c>
      <c r="L468" s="39">
        <f>VLOOKUP(Table1[[#This Row],[Kode_Promo]],Table4[],2,FALSE)</f>
        <v>0.3</v>
      </c>
      <c r="M468" s="37">
        <f>Table1[[#This Row],[Jumlah_Unit]]*Table1[[#This Row],[Harga_Satuan]]</f>
        <v>6800000</v>
      </c>
      <c r="N468" s="37">
        <f>Table1[[#This Row],[Total_Pendapatan_Kotor]]*Table1[[#This Row],[Persentase_Diskon]]</f>
        <v>2040000</v>
      </c>
      <c r="O468" s="37">
        <f>Table1[[#This Row],[Total_Pendapatan_Kotor]]-Table1[[#This Row],[Potongan_Diskon]]</f>
        <v>4760000</v>
      </c>
      <c r="P468" s="37">
        <f>(Table1[[#This Row],[Jumlah_Unit]]*Table1[[#This Row],[HPP_Satuan]])+(Table1[[#This Row],[Jumlah_Unit]]*Table1[[#This Row],[Biaya_Kirim_Satuan]])</f>
        <v>4000000</v>
      </c>
      <c r="Q468" s="37">
        <f>Table1[[#This Row],[Total_Pendapatan_Bersih]]-Table1[[#This Row],[Total_Biaya]]</f>
        <v>760000</v>
      </c>
      <c r="R468" s="5">
        <f>Table1[[#This Row],[Laba_Kotor]]/Table1[[#This Row],[Total_Pendapatan_Bersih]]</f>
        <v>0.15966386554621848</v>
      </c>
    </row>
    <row r="469" spans="1:18" ht="20.25" thickBot="1" x14ac:dyDescent="0.6">
      <c r="A469" s="3" t="s">
        <v>498</v>
      </c>
      <c r="B469" s="21">
        <v>46015</v>
      </c>
      <c r="C469" s="1" t="s">
        <v>31</v>
      </c>
      <c r="D469" s="1" t="s">
        <v>32</v>
      </c>
      <c r="E469" s="2">
        <v>2</v>
      </c>
      <c r="F469" s="1" t="s">
        <v>33</v>
      </c>
      <c r="G469" s="1" t="str">
        <f>INDEX(Table2[Nama Produk],MATCH(Table1[[#This Row],[SKU]],Table2[SKU],0))</f>
        <v>Monitor Ergonomis 27</v>
      </c>
      <c r="H469" s="1" t="str">
        <f>VLOOKUP(Table1[[#This Row],[SKU]],Table2[],3,FALSE)</f>
        <v>Elektronik</v>
      </c>
      <c r="I469" s="37">
        <f>INDEX(Table2[Harga Jual],MATCH(Table1[[#This Row],[SKU]],Table2[SKU],0))</f>
        <v>3400000</v>
      </c>
      <c r="J469" s="37">
        <f>VLOOKUP(Table1[[#This Row],[SKU]],Table2[],4,FALSE)</f>
        <v>2100000</v>
      </c>
      <c r="K469" s="37">
        <f>INDEX(Table3[Biaya Kirim per Unit],MATCH(Table1[[#This Row],[Kota]],Table3[Kota],))</f>
        <v>65000</v>
      </c>
      <c r="L469" s="39">
        <f>VLOOKUP(Table1[[#This Row],[Kode_Promo]],Table4[],2,FALSE)</f>
        <v>0.2</v>
      </c>
      <c r="M469" s="37">
        <f>Table1[[#This Row],[Jumlah_Unit]]*Table1[[#This Row],[Harga_Satuan]]</f>
        <v>6800000</v>
      </c>
      <c r="N469" s="37">
        <f>Table1[[#This Row],[Total_Pendapatan_Kotor]]*Table1[[#This Row],[Persentase_Diskon]]</f>
        <v>1360000</v>
      </c>
      <c r="O469" s="37">
        <f>Table1[[#This Row],[Total_Pendapatan_Kotor]]-Table1[[#This Row],[Potongan_Diskon]]</f>
        <v>5440000</v>
      </c>
      <c r="P469" s="37">
        <f>(Table1[[#This Row],[Jumlah_Unit]]*Table1[[#This Row],[HPP_Satuan]])+(Table1[[#This Row],[Jumlah_Unit]]*Table1[[#This Row],[Biaya_Kirim_Satuan]])</f>
        <v>4330000</v>
      </c>
      <c r="Q469" s="37">
        <f>Table1[[#This Row],[Total_Pendapatan_Bersih]]-Table1[[#This Row],[Total_Biaya]]</f>
        <v>1110000</v>
      </c>
      <c r="R469" s="5">
        <f>Table1[[#This Row],[Laba_Kotor]]/Table1[[#This Row],[Total_Pendapatan_Bersih]]</f>
        <v>0.20404411764705882</v>
      </c>
    </row>
    <row r="470" spans="1:18" ht="20.25" thickBot="1" x14ac:dyDescent="0.6">
      <c r="A470" s="3" t="s">
        <v>499</v>
      </c>
      <c r="B470" s="21">
        <v>46022</v>
      </c>
      <c r="C470" s="1" t="s">
        <v>19</v>
      </c>
      <c r="D470" s="1" t="s">
        <v>28</v>
      </c>
      <c r="E470" s="2">
        <v>5</v>
      </c>
      <c r="F470" s="1" t="s">
        <v>21</v>
      </c>
      <c r="G470" s="1" t="str">
        <f>INDEX(Table2[Nama Produk],MATCH(Table1[[#This Row],[SKU]],Table2[SKU],0))</f>
        <v>Kursi Kerja Ergonomis</v>
      </c>
      <c r="H470" s="1" t="str">
        <f>VLOOKUP(Table1[[#This Row],[SKU]],Table2[],3,FALSE)</f>
        <v>Furnitur</v>
      </c>
      <c r="I470" s="37">
        <f>INDEX(Table2[Harga Jual],MATCH(Table1[[#This Row],[SKU]],Table2[SKU],0))</f>
        <v>2100000</v>
      </c>
      <c r="J470" s="37">
        <f>VLOOKUP(Table1[[#This Row],[SKU]],Table2[],4,FALSE)</f>
        <v>1200000</v>
      </c>
      <c r="K470" s="37">
        <f>INDEX(Table3[Biaya Kirim per Unit],MATCH(Table1[[#This Row],[Kota]],Table3[Kota],))</f>
        <v>25000</v>
      </c>
      <c r="L470" s="39">
        <f>VLOOKUP(Table1[[#This Row],[Kode_Promo]],Table4[],2,FALSE)</f>
        <v>0.1</v>
      </c>
      <c r="M470" s="37">
        <f>Table1[[#This Row],[Jumlah_Unit]]*Table1[[#This Row],[Harga_Satuan]]</f>
        <v>10500000</v>
      </c>
      <c r="N470" s="37">
        <f>Table1[[#This Row],[Total_Pendapatan_Kotor]]*Table1[[#This Row],[Persentase_Diskon]]</f>
        <v>1050000</v>
      </c>
      <c r="O470" s="37">
        <f>Table1[[#This Row],[Total_Pendapatan_Kotor]]-Table1[[#This Row],[Potongan_Diskon]]</f>
        <v>9450000</v>
      </c>
      <c r="P470" s="37">
        <f>(Table1[[#This Row],[Jumlah_Unit]]*Table1[[#This Row],[HPP_Satuan]])+(Table1[[#This Row],[Jumlah_Unit]]*Table1[[#This Row],[Biaya_Kirim_Satuan]])</f>
        <v>6125000</v>
      </c>
      <c r="Q470" s="37">
        <f>Table1[[#This Row],[Total_Pendapatan_Bersih]]-Table1[[#This Row],[Total_Biaya]]</f>
        <v>3325000</v>
      </c>
      <c r="R470" s="5">
        <f>Table1[[#This Row],[Laba_Kotor]]/Table1[[#This Row],[Total_Pendapatan_Bersih]]</f>
        <v>0.35185185185185186</v>
      </c>
    </row>
    <row r="471" spans="1:18" ht="20.25" thickBot="1" x14ac:dyDescent="0.6">
      <c r="A471" s="3" t="s">
        <v>500</v>
      </c>
      <c r="B471" s="21">
        <v>45667</v>
      </c>
      <c r="C471" s="1" t="s">
        <v>23</v>
      </c>
      <c r="D471" s="1" t="s">
        <v>35</v>
      </c>
      <c r="E471" s="2">
        <v>1</v>
      </c>
      <c r="F471" s="1" t="s">
        <v>25</v>
      </c>
      <c r="G471" s="1" t="str">
        <f>INDEX(Table2[Nama Produk],MATCH(Table1[[#This Row],[SKU]],Table2[SKU],0))</f>
        <v>Meja Adjustable</v>
      </c>
      <c r="H471" s="1" t="str">
        <f>VLOOKUP(Table1[[#This Row],[SKU]],Table2[],3,FALSE)</f>
        <v>Furnitur</v>
      </c>
      <c r="I471" s="37">
        <f>INDEX(Table2[Harga Jual],MATCH(Table1[[#This Row],[SKU]],Table2[SKU],0))</f>
        <v>4200000</v>
      </c>
      <c r="J471" s="37">
        <f>VLOOKUP(Table1[[#This Row],[SKU]],Table2[],4,FALSE)</f>
        <v>2400000</v>
      </c>
      <c r="K471" s="37">
        <f>INDEX(Table3[Biaya Kirim per Unit],MATCH(Table1[[#This Row],[Kota]],Table3[Kota],))</f>
        <v>35000</v>
      </c>
      <c r="L471" s="39">
        <f>VLOOKUP(Table1[[#This Row],[Kode_Promo]],Table4[],2,FALSE)</f>
        <v>0.3</v>
      </c>
      <c r="M471" s="37">
        <f>Table1[[#This Row],[Jumlah_Unit]]*Table1[[#This Row],[Harga_Satuan]]</f>
        <v>4200000</v>
      </c>
      <c r="N471" s="37">
        <f>Table1[[#This Row],[Total_Pendapatan_Kotor]]*Table1[[#This Row],[Persentase_Diskon]]</f>
        <v>1260000</v>
      </c>
      <c r="O471" s="37">
        <f>Table1[[#This Row],[Total_Pendapatan_Kotor]]-Table1[[#This Row],[Potongan_Diskon]]</f>
        <v>2940000</v>
      </c>
      <c r="P471" s="37">
        <f>(Table1[[#This Row],[Jumlah_Unit]]*Table1[[#This Row],[HPP_Satuan]])+(Table1[[#This Row],[Jumlah_Unit]]*Table1[[#This Row],[Biaya_Kirim_Satuan]])</f>
        <v>2435000</v>
      </c>
      <c r="Q471" s="37">
        <f>Table1[[#This Row],[Total_Pendapatan_Bersih]]-Table1[[#This Row],[Total_Biaya]]</f>
        <v>505000</v>
      </c>
      <c r="R471" s="5">
        <f>Table1[[#This Row],[Laba_Kotor]]/Table1[[#This Row],[Total_Pendapatan_Bersih]]</f>
        <v>0.17176870748299319</v>
      </c>
    </row>
    <row r="472" spans="1:18" ht="20.25" thickBot="1" x14ac:dyDescent="0.6">
      <c r="A472" s="3" t="s">
        <v>501</v>
      </c>
      <c r="B472" s="21">
        <v>45681</v>
      </c>
      <c r="C472" s="1" t="s">
        <v>27</v>
      </c>
      <c r="D472" s="1" t="s">
        <v>20</v>
      </c>
      <c r="E472" s="2">
        <v>2</v>
      </c>
      <c r="F472" s="1" t="s">
        <v>29</v>
      </c>
      <c r="G472" s="1" t="str">
        <f>INDEX(Table2[Nama Produk],MATCH(Table1[[#This Row],[SKU]],Table2[SKU],0))</f>
        <v>Laptop Pro 14</v>
      </c>
      <c r="H472" s="1" t="str">
        <f>VLOOKUP(Table1[[#This Row],[SKU]],Table2[],3,FALSE)</f>
        <v>Elektronik</v>
      </c>
      <c r="I472" s="37">
        <f>INDEX(Table2[Harga Jual],MATCH(Table1[[#This Row],[SKU]],Table2[SKU],0))</f>
        <v>12000000</v>
      </c>
      <c r="J472" s="37">
        <f>VLOOKUP(Table1[[#This Row],[SKU]],Table2[],4,FALSE)</f>
        <v>8500000</v>
      </c>
      <c r="K472" s="37">
        <f>INDEX(Table3[Biaya Kirim per Unit],MATCH(Table1[[#This Row],[Kota]],Table3[Kota],))</f>
        <v>50000</v>
      </c>
      <c r="L472" s="39">
        <f>VLOOKUP(Table1[[#This Row],[Kode_Promo]],Table4[],2,FALSE)</f>
        <v>0</v>
      </c>
      <c r="M472" s="37">
        <f>Table1[[#This Row],[Jumlah_Unit]]*Table1[[#This Row],[Harga_Satuan]]</f>
        <v>24000000</v>
      </c>
      <c r="N472" s="37">
        <f>Table1[[#This Row],[Total_Pendapatan_Kotor]]*Table1[[#This Row],[Persentase_Diskon]]</f>
        <v>0</v>
      </c>
      <c r="O472" s="37">
        <f>Table1[[#This Row],[Total_Pendapatan_Kotor]]-Table1[[#This Row],[Potongan_Diskon]]</f>
        <v>24000000</v>
      </c>
      <c r="P472" s="37">
        <f>(Table1[[#This Row],[Jumlah_Unit]]*Table1[[#This Row],[HPP_Satuan]])+(Table1[[#This Row],[Jumlah_Unit]]*Table1[[#This Row],[Biaya_Kirim_Satuan]])</f>
        <v>17100000</v>
      </c>
      <c r="Q472" s="37">
        <f>Table1[[#This Row],[Total_Pendapatan_Bersih]]-Table1[[#This Row],[Total_Biaya]]</f>
        <v>6900000</v>
      </c>
      <c r="R472" s="5">
        <f>Table1[[#This Row],[Laba_Kotor]]/Table1[[#This Row],[Total_Pendapatan_Bersih]]</f>
        <v>0.28749999999999998</v>
      </c>
    </row>
    <row r="473" spans="1:18" ht="20.25" thickBot="1" x14ac:dyDescent="0.6">
      <c r="A473" s="3" t="s">
        <v>502</v>
      </c>
      <c r="B473" s="21">
        <v>45695</v>
      </c>
      <c r="C473" s="1" t="s">
        <v>31</v>
      </c>
      <c r="D473" s="1" t="s">
        <v>24</v>
      </c>
      <c r="E473" s="2">
        <v>6</v>
      </c>
      <c r="F473" s="1" t="s">
        <v>33</v>
      </c>
      <c r="G473" s="1" t="str">
        <f>INDEX(Table2[Nama Produk],MATCH(Table1[[#This Row],[SKU]],Table2[SKU],0))</f>
        <v>Mechanical Keyboard</v>
      </c>
      <c r="H473" s="1" t="str">
        <f>VLOOKUP(Table1[[#This Row],[SKU]],Table2[],3,FALSE)</f>
        <v>Aksesori</v>
      </c>
      <c r="I473" s="37">
        <f>INDEX(Table2[Harga Jual],MATCH(Table1[[#This Row],[SKU]],Table2[SKU],0))</f>
        <v>850000</v>
      </c>
      <c r="J473" s="37">
        <f>VLOOKUP(Table1[[#This Row],[SKU]],Table2[],4,FALSE)</f>
        <v>450000</v>
      </c>
      <c r="K473" s="37">
        <f>INDEX(Table3[Biaya Kirim per Unit],MATCH(Table1[[#This Row],[Kota]],Table3[Kota],))</f>
        <v>65000</v>
      </c>
      <c r="L473" s="39">
        <f>VLOOKUP(Table1[[#This Row],[Kode_Promo]],Table4[],2,FALSE)</f>
        <v>0.2</v>
      </c>
      <c r="M473" s="37">
        <f>Table1[[#This Row],[Jumlah_Unit]]*Table1[[#This Row],[Harga_Satuan]]</f>
        <v>5100000</v>
      </c>
      <c r="N473" s="37">
        <f>Table1[[#This Row],[Total_Pendapatan_Kotor]]*Table1[[#This Row],[Persentase_Diskon]]</f>
        <v>1020000</v>
      </c>
      <c r="O473" s="37">
        <f>Table1[[#This Row],[Total_Pendapatan_Kotor]]-Table1[[#This Row],[Potongan_Diskon]]</f>
        <v>4080000</v>
      </c>
      <c r="P473" s="37">
        <f>(Table1[[#This Row],[Jumlah_Unit]]*Table1[[#This Row],[HPP_Satuan]])+(Table1[[#This Row],[Jumlah_Unit]]*Table1[[#This Row],[Biaya_Kirim_Satuan]])</f>
        <v>3090000</v>
      </c>
      <c r="Q473" s="37">
        <f>Table1[[#This Row],[Total_Pendapatan_Bersih]]-Table1[[#This Row],[Total_Biaya]]</f>
        <v>990000</v>
      </c>
      <c r="R473" s="5">
        <f>Table1[[#This Row],[Laba_Kotor]]/Table1[[#This Row],[Total_Pendapatan_Bersih]]</f>
        <v>0.24264705882352941</v>
      </c>
    </row>
    <row r="474" spans="1:18" ht="20.25" thickBot="1" x14ac:dyDescent="0.6">
      <c r="A474" s="3" t="s">
        <v>503</v>
      </c>
      <c r="B474" s="21">
        <v>45709</v>
      </c>
      <c r="C474" s="1" t="s">
        <v>19</v>
      </c>
      <c r="D474" s="1" t="s">
        <v>32</v>
      </c>
      <c r="E474" s="2">
        <v>3</v>
      </c>
      <c r="F474" s="1" t="s">
        <v>21</v>
      </c>
      <c r="G474" s="1" t="str">
        <f>INDEX(Table2[Nama Produk],MATCH(Table1[[#This Row],[SKU]],Table2[SKU],0))</f>
        <v>Monitor Ergonomis 27</v>
      </c>
      <c r="H474" s="1" t="str">
        <f>VLOOKUP(Table1[[#This Row],[SKU]],Table2[],3,FALSE)</f>
        <v>Elektronik</v>
      </c>
      <c r="I474" s="37">
        <f>INDEX(Table2[Harga Jual],MATCH(Table1[[#This Row],[SKU]],Table2[SKU],0))</f>
        <v>3400000</v>
      </c>
      <c r="J474" s="37">
        <f>VLOOKUP(Table1[[#This Row],[SKU]],Table2[],4,FALSE)</f>
        <v>2100000</v>
      </c>
      <c r="K474" s="37">
        <f>INDEX(Table3[Biaya Kirim per Unit],MATCH(Table1[[#This Row],[Kota]],Table3[Kota],))</f>
        <v>25000</v>
      </c>
      <c r="L474" s="39">
        <f>VLOOKUP(Table1[[#This Row],[Kode_Promo]],Table4[],2,FALSE)</f>
        <v>0.1</v>
      </c>
      <c r="M474" s="37">
        <f>Table1[[#This Row],[Jumlah_Unit]]*Table1[[#This Row],[Harga_Satuan]]</f>
        <v>10200000</v>
      </c>
      <c r="N474" s="37">
        <f>Table1[[#This Row],[Total_Pendapatan_Kotor]]*Table1[[#This Row],[Persentase_Diskon]]</f>
        <v>1020000</v>
      </c>
      <c r="O474" s="37">
        <f>Table1[[#This Row],[Total_Pendapatan_Kotor]]-Table1[[#This Row],[Potongan_Diskon]]</f>
        <v>9180000</v>
      </c>
      <c r="P474" s="37">
        <f>(Table1[[#This Row],[Jumlah_Unit]]*Table1[[#This Row],[HPP_Satuan]])+(Table1[[#This Row],[Jumlah_Unit]]*Table1[[#This Row],[Biaya_Kirim_Satuan]])</f>
        <v>6375000</v>
      </c>
      <c r="Q474" s="37">
        <f>Table1[[#This Row],[Total_Pendapatan_Bersih]]-Table1[[#This Row],[Total_Biaya]]</f>
        <v>2805000</v>
      </c>
      <c r="R474" s="5">
        <f>Table1[[#This Row],[Laba_Kotor]]/Table1[[#This Row],[Total_Pendapatan_Bersih]]</f>
        <v>0.30555555555555558</v>
      </c>
    </row>
    <row r="475" spans="1:18" ht="20.25" thickBot="1" x14ac:dyDescent="0.6">
      <c r="A475" s="3" t="s">
        <v>504</v>
      </c>
      <c r="B475" s="21">
        <v>45723</v>
      </c>
      <c r="C475" s="1" t="s">
        <v>23</v>
      </c>
      <c r="D475" s="1" t="s">
        <v>28</v>
      </c>
      <c r="E475" s="2">
        <v>4</v>
      </c>
      <c r="F475" s="1" t="s">
        <v>25</v>
      </c>
      <c r="G475" s="1" t="str">
        <f>INDEX(Table2[Nama Produk],MATCH(Table1[[#This Row],[SKU]],Table2[SKU],0))</f>
        <v>Kursi Kerja Ergonomis</v>
      </c>
      <c r="H475" s="1" t="str">
        <f>VLOOKUP(Table1[[#This Row],[SKU]],Table2[],3,FALSE)</f>
        <v>Furnitur</v>
      </c>
      <c r="I475" s="37">
        <f>INDEX(Table2[Harga Jual],MATCH(Table1[[#This Row],[SKU]],Table2[SKU],0))</f>
        <v>2100000</v>
      </c>
      <c r="J475" s="37">
        <f>VLOOKUP(Table1[[#This Row],[SKU]],Table2[],4,FALSE)</f>
        <v>1200000</v>
      </c>
      <c r="K475" s="37">
        <f>INDEX(Table3[Biaya Kirim per Unit],MATCH(Table1[[#This Row],[Kota]],Table3[Kota],))</f>
        <v>35000</v>
      </c>
      <c r="L475" s="39">
        <f>VLOOKUP(Table1[[#This Row],[Kode_Promo]],Table4[],2,FALSE)</f>
        <v>0.3</v>
      </c>
      <c r="M475" s="37">
        <f>Table1[[#This Row],[Jumlah_Unit]]*Table1[[#This Row],[Harga_Satuan]]</f>
        <v>8400000</v>
      </c>
      <c r="N475" s="37">
        <f>Table1[[#This Row],[Total_Pendapatan_Kotor]]*Table1[[#This Row],[Persentase_Diskon]]</f>
        <v>2520000</v>
      </c>
      <c r="O475" s="37">
        <f>Table1[[#This Row],[Total_Pendapatan_Kotor]]-Table1[[#This Row],[Potongan_Diskon]]</f>
        <v>5880000</v>
      </c>
      <c r="P475" s="37">
        <f>(Table1[[#This Row],[Jumlah_Unit]]*Table1[[#This Row],[HPP_Satuan]])+(Table1[[#This Row],[Jumlah_Unit]]*Table1[[#This Row],[Biaya_Kirim_Satuan]])</f>
        <v>4940000</v>
      </c>
      <c r="Q475" s="37">
        <f>Table1[[#This Row],[Total_Pendapatan_Bersih]]-Table1[[#This Row],[Total_Biaya]]</f>
        <v>940000</v>
      </c>
      <c r="R475" s="5">
        <f>Table1[[#This Row],[Laba_Kotor]]/Table1[[#This Row],[Total_Pendapatan_Bersih]]</f>
        <v>0.1598639455782313</v>
      </c>
    </row>
    <row r="476" spans="1:18" ht="20.25" thickBot="1" x14ac:dyDescent="0.6">
      <c r="A476" s="3" t="s">
        <v>505</v>
      </c>
      <c r="B476" s="21">
        <v>45737</v>
      </c>
      <c r="C476" s="1" t="s">
        <v>27</v>
      </c>
      <c r="D476" s="1" t="s">
        <v>35</v>
      </c>
      <c r="E476" s="2">
        <v>2</v>
      </c>
      <c r="F476" s="1" t="s">
        <v>29</v>
      </c>
      <c r="G476" s="1" t="str">
        <f>INDEX(Table2[Nama Produk],MATCH(Table1[[#This Row],[SKU]],Table2[SKU],0))</f>
        <v>Meja Adjustable</v>
      </c>
      <c r="H476" s="1" t="str">
        <f>VLOOKUP(Table1[[#This Row],[SKU]],Table2[],3,FALSE)</f>
        <v>Furnitur</v>
      </c>
      <c r="I476" s="37">
        <f>INDEX(Table2[Harga Jual],MATCH(Table1[[#This Row],[SKU]],Table2[SKU],0))</f>
        <v>4200000</v>
      </c>
      <c r="J476" s="37">
        <f>VLOOKUP(Table1[[#This Row],[SKU]],Table2[],4,FALSE)</f>
        <v>2400000</v>
      </c>
      <c r="K476" s="37">
        <f>INDEX(Table3[Biaya Kirim per Unit],MATCH(Table1[[#This Row],[Kota]],Table3[Kota],))</f>
        <v>50000</v>
      </c>
      <c r="L476" s="39">
        <f>VLOOKUP(Table1[[#This Row],[Kode_Promo]],Table4[],2,FALSE)</f>
        <v>0</v>
      </c>
      <c r="M476" s="37">
        <f>Table1[[#This Row],[Jumlah_Unit]]*Table1[[#This Row],[Harga_Satuan]]</f>
        <v>8400000</v>
      </c>
      <c r="N476" s="37">
        <f>Table1[[#This Row],[Total_Pendapatan_Kotor]]*Table1[[#This Row],[Persentase_Diskon]]</f>
        <v>0</v>
      </c>
      <c r="O476" s="37">
        <f>Table1[[#This Row],[Total_Pendapatan_Kotor]]-Table1[[#This Row],[Potongan_Diskon]]</f>
        <v>8400000</v>
      </c>
      <c r="P476" s="37">
        <f>(Table1[[#This Row],[Jumlah_Unit]]*Table1[[#This Row],[HPP_Satuan]])+(Table1[[#This Row],[Jumlah_Unit]]*Table1[[#This Row],[Biaya_Kirim_Satuan]])</f>
        <v>4900000</v>
      </c>
      <c r="Q476" s="37">
        <f>Table1[[#This Row],[Total_Pendapatan_Bersih]]-Table1[[#This Row],[Total_Biaya]]</f>
        <v>3500000</v>
      </c>
      <c r="R476" s="5">
        <f>Table1[[#This Row],[Laba_Kotor]]/Table1[[#This Row],[Total_Pendapatan_Bersih]]</f>
        <v>0.41666666666666669</v>
      </c>
    </row>
    <row r="477" spans="1:18" ht="20.25" thickBot="1" x14ac:dyDescent="0.6">
      <c r="A477" s="3" t="s">
        <v>506</v>
      </c>
      <c r="B477" s="21">
        <v>45751</v>
      </c>
      <c r="C477" s="1" t="s">
        <v>31</v>
      </c>
      <c r="D477" s="1" t="s">
        <v>20</v>
      </c>
      <c r="E477" s="2">
        <v>3</v>
      </c>
      <c r="F477" s="1" t="s">
        <v>33</v>
      </c>
      <c r="G477" s="1" t="str">
        <f>INDEX(Table2[Nama Produk],MATCH(Table1[[#This Row],[SKU]],Table2[SKU],0))</f>
        <v>Laptop Pro 14</v>
      </c>
      <c r="H477" s="1" t="str">
        <f>VLOOKUP(Table1[[#This Row],[SKU]],Table2[],3,FALSE)</f>
        <v>Elektronik</v>
      </c>
      <c r="I477" s="37">
        <f>INDEX(Table2[Harga Jual],MATCH(Table1[[#This Row],[SKU]],Table2[SKU],0))</f>
        <v>12000000</v>
      </c>
      <c r="J477" s="37">
        <f>VLOOKUP(Table1[[#This Row],[SKU]],Table2[],4,FALSE)</f>
        <v>8500000</v>
      </c>
      <c r="K477" s="37">
        <f>INDEX(Table3[Biaya Kirim per Unit],MATCH(Table1[[#This Row],[Kota]],Table3[Kota],))</f>
        <v>65000</v>
      </c>
      <c r="L477" s="39">
        <f>VLOOKUP(Table1[[#This Row],[Kode_Promo]],Table4[],2,FALSE)</f>
        <v>0.2</v>
      </c>
      <c r="M477" s="37">
        <f>Table1[[#This Row],[Jumlah_Unit]]*Table1[[#This Row],[Harga_Satuan]]</f>
        <v>36000000</v>
      </c>
      <c r="N477" s="37">
        <f>Table1[[#This Row],[Total_Pendapatan_Kotor]]*Table1[[#This Row],[Persentase_Diskon]]</f>
        <v>7200000</v>
      </c>
      <c r="O477" s="37">
        <f>Table1[[#This Row],[Total_Pendapatan_Kotor]]-Table1[[#This Row],[Potongan_Diskon]]</f>
        <v>28800000</v>
      </c>
      <c r="P477" s="37">
        <f>(Table1[[#This Row],[Jumlah_Unit]]*Table1[[#This Row],[HPP_Satuan]])+(Table1[[#This Row],[Jumlah_Unit]]*Table1[[#This Row],[Biaya_Kirim_Satuan]])</f>
        <v>25695000</v>
      </c>
      <c r="Q477" s="37">
        <f>Table1[[#This Row],[Total_Pendapatan_Bersih]]-Table1[[#This Row],[Total_Biaya]]</f>
        <v>3105000</v>
      </c>
      <c r="R477" s="5">
        <f>Table1[[#This Row],[Laba_Kotor]]/Table1[[#This Row],[Total_Pendapatan_Bersih]]</f>
        <v>0.10781250000000001</v>
      </c>
    </row>
    <row r="478" spans="1:18" ht="20.25" thickBot="1" x14ac:dyDescent="0.6">
      <c r="A478" s="3" t="s">
        <v>507</v>
      </c>
      <c r="B478" s="21">
        <v>45765</v>
      </c>
      <c r="C478" s="1" t="s">
        <v>19</v>
      </c>
      <c r="D478" s="1" t="s">
        <v>24</v>
      </c>
      <c r="E478" s="2">
        <v>5</v>
      </c>
      <c r="F478" s="1" t="s">
        <v>21</v>
      </c>
      <c r="G478" s="1" t="str">
        <f>INDEX(Table2[Nama Produk],MATCH(Table1[[#This Row],[SKU]],Table2[SKU],0))</f>
        <v>Mechanical Keyboard</v>
      </c>
      <c r="H478" s="1" t="str">
        <f>VLOOKUP(Table1[[#This Row],[SKU]],Table2[],3,FALSE)</f>
        <v>Aksesori</v>
      </c>
      <c r="I478" s="37">
        <f>INDEX(Table2[Harga Jual],MATCH(Table1[[#This Row],[SKU]],Table2[SKU],0))</f>
        <v>850000</v>
      </c>
      <c r="J478" s="37">
        <f>VLOOKUP(Table1[[#This Row],[SKU]],Table2[],4,FALSE)</f>
        <v>450000</v>
      </c>
      <c r="K478" s="37">
        <f>INDEX(Table3[Biaya Kirim per Unit],MATCH(Table1[[#This Row],[Kota]],Table3[Kota],))</f>
        <v>25000</v>
      </c>
      <c r="L478" s="39">
        <f>VLOOKUP(Table1[[#This Row],[Kode_Promo]],Table4[],2,FALSE)</f>
        <v>0.1</v>
      </c>
      <c r="M478" s="37">
        <f>Table1[[#This Row],[Jumlah_Unit]]*Table1[[#This Row],[Harga_Satuan]]</f>
        <v>4250000</v>
      </c>
      <c r="N478" s="37">
        <f>Table1[[#This Row],[Total_Pendapatan_Kotor]]*Table1[[#This Row],[Persentase_Diskon]]</f>
        <v>425000</v>
      </c>
      <c r="O478" s="37">
        <f>Table1[[#This Row],[Total_Pendapatan_Kotor]]-Table1[[#This Row],[Potongan_Diskon]]</f>
        <v>3825000</v>
      </c>
      <c r="P478" s="37">
        <f>(Table1[[#This Row],[Jumlah_Unit]]*Table1[[#This Row],[HPP_Satuan]])+(Table1[[#This Row],[Jumlah_Unit]]*Table1[[#This Row],[Biaya_Kirim_Satuan]])</f>
        <v>2375000</v>
      </c>
      <c r="Q478" s="37">
        <f>Table1[[#This Row],[Total_Pendapatan_Bersih]]-Table1[[#This Row],[Total_Biaya]]</f>
        <v>1450000</v>
      </c>
      <c r="R478" s="5">
        <f>Table1[[#This Row],[Laba_Kotor]]/Table1[[#This Row],[Total_Pendapatan_Bersih]]</f>
        <v>0.37908496732026142</v>
      </c>
    </row>
    <row r="479" spans="1:18" ht="20.25" thickBot="1" x14ac:dyDescent="0.6">
      <c r="A479" s="3" t="s">
        <v>508</v>
      </c>
      <c r="B479" s="21">
        <v>45779</v>
      </c>
      <c r="C479" s="1" t="s">
        <v>23</v>
      </c>
      <c r="D479" s="1" t="s">
        <v>32</v>
      </c>
      <c r="E479" s="2">
        <v>1</v>
      </c>
      <c r="F479" s="1" t="s">
        <v>25</v>
      </c>
      <c r="G479" s="1" t="str">
        <f>INDEX(Table2[Nama Produk],MATCH(Table1[[#This Row],[SKU]],Table2[SKU],0))</f>
        <v>Monitor Ergonomis 27</v>
      </c>
      <c r="H479" s="1" t="str">
        <f>VLOOKUP(Table1[[#This Row],[SKU]],Table2[],3,FALSE)</f>
        <v>Elektronik</v>
      </c>
      <c r="I479" s="37">
        <f>INDEX(Table2[Harga Jual],MATCH(Table1[[#This Row],[SKU]],Table2[SKU],0))</f>
        <v>3400000</v>
      </c>
      <c r="J479" s="37">
        <f>VLOOKUP(Table1[[#This Row],[SKU]],Table2[],4,FALSE)</f>
        <v>2100000</v>
      </c>
      <c r="K479" s="37">
        <f>INDEX(Table3[Biaya Kirim per Unit],MATCH(Table1[[#This Row],[Kota]],Table3[Kota],))</f>
        <v>35000</v>
      </c>
      <c r="L479" s="39">
        <f>VLOOKUP(Table1[[#This Row],[Kode_Promo]],Table4[],2,FALSE)</f>
        <v>0.3</v>
      </c>
      <c r="M479" s="37">
        <f>Table1[[#This Row],[Jumlah_Unit]]*Table1[[#This Row],[Harga_Satuan]]</f>
        <v>3400000</v>
      </c>
      <c r="N479" s="37">
        <f>Table1[[#This Row],[Total_Pendapatan_Kotor]]*Table1[[#This Row],[Persentase_Diskon]]</f>
        <v>1020000</v>
      </c>
      <c r="O479" s="37">
        <f>Table1[[#This Row],[Total_Pendapatan_Kotor]]-Table1[[#This Row],[Potongan_Diskon]]</f>
        <v>2380000</v>
      </c>
      <c r="P479" s="37">
        <f>(Table1[[#This Row],[Jumlah_Unit]]*Table1[[#This Row],[HPP_Satuan]])+(Table1[[#This Row],[Jumlah_Unit]]*Table1[[#This Row],[Biaya_Kirim_Satuan]])</f>
        <v>2135000</v>
      </c>
      <c r="Q479" s="37">
        <f>Table1[[#This Row],[Total_Pendapatan_Bersih]]-Table1[[#This Row],[Total_Biaya]]</f>
        <v>245000</v>
      </c>
      <c r="R479" s="5">
        <f>Table1[[#This Row],[Laba_Kotor]]/Table1[[#This Row],[Total_Pendapatan_Bersih]]</f>
        <v>0.10294117647058823</v>
      </c>
    </row>
    <row r="480" spans="1:18" ht="20.25" thickBot="1" x14ac:dyDescent="0.6">
      <c r="A480" s="3" t="s">
        <v>509</v>
      </c>
      <c r="B480" s="21">
        <v>45793</v>
      </c>
      <c r="C480" s="1" t="s">
        <v>27</v>
      </c>
      <c r="D480" s="1" t="s">
        <v>28</v>
      </c>
      <c r="E480" s="2">
        <v>3</v>
      </c>
      <c r="F480" s="1" t="s">
        <v>29</v>
      </c>
      <c r="G480" s="1" t="str">
        <f>INDEX(Table2[Nama Produk],MATCH(Table1[[#This Row],[SKU]],Table2[SKU],0))</f>
        <v>Kursi Kerja Ergonomis</v>
      </c>
      <c r="H480" s="1" t="str">
        <f>VLOOKUP(Table1[[#This Row],[SKU]],Table2[],3,FALSE)</f>
        <v>Furnitur</v>
      </c>
      <c r="I480" s="37">
        <f>INDEX(Table2[Harga Jual],MATCH(Table1[[#This Row],[SKU]],Table2[SKU],0))</f>
        <v>2100000</v>
      </c>
      <c r="J480" s="37">
        <f>VLOOKUP(Table1[[#This Row],[SKU]],Table2[],4,FALSE)</f>
        <v>1200000</v>
      </c>
      <c r="K480" s="37">
        <f>INDEX(Table3[Biaya Kirim per Unit],MATCH(Table1[[#This Row],[Kota]],Table3[Kota],))</f>
        <v>50000</v>
      </c>
      <c r="L480" s="39">
        <f>VLOOKUP(Table1[[#This Row],[Kode_Promo]],Table4[],2,FALSE)</f>
        <v>0</v>
      </c>
      <c r="M480" s="37">
        <f>Table1[[#This Row],[Jumlah_Unit]]*Table1[[#This Row],[Harga_Satuan]]</f>
        <v>6300000</v>
      </c>
      <c r="N480" s="37">
        <f>Table1[[#This Row],[Total_Pendapatan_Kotor]]*Table1[[#This Row],[Persentase_Diskon]]</f>
        <v>0</v>
      </c>
      <c r="O480" s="37">
        <f>Table1[[#This Row],[Total_Pendapatan_Kotor]]-Table1[[#This Row],[Potongan_Diskon]]</f>
        <v>6300000</v>
      </c>
      <c r="P480" s="37">
        <f>(Table1[[#This Row],[Jumlah_Unit]]*Table1[[#This Row],[HPP_Satuan]])+(Table1[[#This Row],[Jumlah_Unit]]*Table1[[#This Row],[Biaya_Kirim_Satuan]])</f>
        <v>3750000</v>
      </c>
      <c r="Q480" s="37">
        <f>Table1[[#This Row],[Total_Pendapatan_Bersih]]-Table1[[#This Row],[Total_Biaya]]</f>
        <v>2550000</v>
      </c>
      <c r="R480" s="5">
        <f>Table1[[#This Row],[Laba_Kotor]]/Table1[[#This Row],[Total_Pendapatan_Bersih]]</f>
        <v>0.40476190476190477</v>
      </c>
    </row>
    <row r="481" spans="1:18" ht="20.25" thickBot="1" x14ac:dyDescent="0.6">
      <c r="A481" s="3" t="s">
        <v>510</v>
      </c>
      <c r="B481" s="21">
        <v>45807</v>
      </c>
      <c r="C481" s="1" t="s">
        <v>31</v>
      </c>
      <c r="D481" s="1" t="s">
        <v>35</v>
      </c>
      <c r="E481" s="2">
        <v>4</v>
      </c>
      <c r="F481" s="1" t="s">
        <v>33</v>
      </c>
      <c r="G481" s="1" t="str">
        <f>INDEX(Table2[Nama Produk],MATCH(Table1[[#This Row],[SKU]],Table2[SKU],0))</f>
        <v>Meja Adjustable</v>
      </c>
      <c r="H481" s="1" t="str">
        <f>VLOOKUP(Table1[[#This Row],[SKU]],Table2[],3,FALSE)</f>
        <v>Furnitur</v>
      </c>
      <c r="I481" s="37">
        <f>INDEX(Table2[Harga Jual],MATCH(Table1[[#This Row],[SKU]],Table2[SKU],0))</f>
        <v>4200000</v>
      </c>
      <c r="J481" s="37">
        <f>VLOOKUP(Table1[[#This Row],[SKU]],Table2[],4,FALSE)</f>
        <v>2400000</v>
      </c>
      <c r="K481" s="37">
        <f>INDEX(Table3[Biaya Kirim per Unit],MATCH(Table1[[#This Row],[Kota]],Table3[Kota],))</f>
        <v>65000</v>
      </c>
      <c r="L481" s="39">
        <f>VLOOKUP(Table1[[#This Row],[Kode_Promo]],Table4[],2,FALSE)</f>
        <v>0.2</v>
      </c>
      <c r="M481" s="37">
        <f>Table1[[#This Row],[Jumlah_Unit]]*Table1[[#This Row],[Harga_Satuan]]</f>
        <v>16800000</v>
      </c>
      <c r="N481" s="37">
        <f>Table1[[#This Row],[Total_Pendapatan_Kotor]]*Table1[[#This Row],[Persentase_Diskon]]</f>
        <v>3360000</v>
      </c>
      <c r="O481" s="37">
        <f>Table1[[#This Row],[Total_Pendapatan_Kotor]]-Table1[[#This Row],[Potongan_Diskon]]</f>
        <v>13440000</v>
      </c>
      <c r="P481" s="37">
        <f>(Table1[[#This Row],[Jumlah_Unit]]*Table1[[#This Row],[HPP_Satuan]])+(Table1[[#This Row],[Jumlah_Unit]]*Table1[[#This Row],[Biaya_Kirim_Satuan]])</f>
        <v>9860000</v>
      </c>
      <c r="Q481" s="37">
        <f>Table1[[#This Row],[Total_Pendapatan_Bersih]]-Table1[[#This Row],[Total_Biaya]]</f>
        <v>3580000</v>
      </c>
      <c r="R481" s="5">
        <f>Table1[[#This Row],[Laba_Kotor]]/Table1[[#This Row],[Total_Pendapatan_Bersih]]</f>
        <v>0.26636904761904762</v>
      </c>
    </row>
    <row r="482" spans="1:18" ht="20.25" thickBot="1" x14ac:dyDescent="0.6">
      <c r="A482" s="3" t="s">
        <v>511</v>
      </c>
      <c r="B482" s="21">
        <v>45821</v>
      </c>
      <c r="C482" s="1" t="s">
        <v>19</v>
      </c>
      <c r="D482" s="1" t="s">
        <v>20</v>
      </c>
      <c r="E482" s="2">
        <v>2</v>
      </c>
      <c r="F482" s="1" t="s">
        <v>21</v>
      </c>
      <c r="G482" s="1" t="str">
        <f>INDEX(Table2[Nama Produk],MATCH(Table1[[#This Row],[SKU]],Table2[SKU],0))</f>
        <v>Laptop Pro 14</v>
      </c>
      <c r="H482" s="1" t="str">
        <f>VLOOKUP(Table1[[#This Row],[SKU]],Table2[],3,FALSE)</f>
        <v>Elektronik</v>
      </c>
      <c r="I482" s="37">
        <f>INDEX(Table2[Harga Jual],MATCH(Table1[[#This Row],[SKU]],Table2[SKU],0))</f>
        <v>12000000</v>
      </c>
      <c r="J482" s="37">
        <f>VLOOKUP(Table1[[#This Row],[SKU]],Table2[],4,FALSE)</f>
        <v>8500000</v>
      </c>
      <c r="K482" s="37">
        <f>INDEX(Table3[Biaya Kirim per Unit],MATCH(Table1[[#This Row],[Kota]],Table3[Kota],))</f>
        <v>25000</v>
      </c>
      <c r="L482" s="39">
        <f>VLOOKUP(Table1[[#This Row],[Kode_Promo]],Table4[],2,FALSE)</f>
        <v>0.1</v>
      </c>
      <c r="M482" s="37">
        <f>Table1[[#This Row],[Jumlah_Unit]]*Table1[[#This Row],[Harga_Satuan]]</f>
        <v>24000000</v>
      </c>
      <c r="N482" s="37">
        <f>Table1[[#This Row],[Total_Pendapatan_Kotor]]*Table1[[#This Row],[Persentase_Diskon]]</f>
        <v>2400000</v>
      </c>
      <c r="O482" s="37">
        <f>Table1[[#This Row],[Total_Pendapatan_Kotor]]-Table1[[#This Row],[Potongan_Diskon]]</f>
        <v>21600000</v>
      </c>
      <c r="P482" s="37">
        <f>(Table1[[#This Row],[Jumlah_Unit]]*Table1[[#This Row],[HPP_Satuan]])+(Table1[[#This Row],[Jumlah_Unit]]*Table1[[#This Row],[Biaya_Kirim_Satuan]])</f>
        <v>17050000</v>
      </c>
      <c r="Q482" s="37">
        <f>Table1[[#This Row],[Total_Pendapatan_Bersih]]-Table1[[#This Row],[Total_Biaya]]</f>
        <v>4550000</v>
      </c>
      <c r="R482" s="5">
        <f>Table1[[#This Row],[Laba_Kotor]]/Table1[[#This Row],[Total_Pendapatan_Bersih]]</f>
        <v>0.21064814814814814</v>
      </c>
    </row>
    <row r="483" spans="1:18" ht="20.25" thickBot="1" x14ac:dyDescent="0.6">
      <c r="A483" s="3" t="s">
        <v>512</v>
      </c>
      <c r="B483" s="21">
        <v>45835</v>
      </c>
      <c r="C483" s="1" t="s">
        <v>23</v>
      </c>
      <c r="D483" s="1" t="s">
        <v>24</v>
      </c>
      <c r="E483" s="2">
        <v>7</v>
      </c>
      <c r="F483" s="1" t="s">
        <v>25</v>
      </c>
      <c r="G483" s="1" t="str">
        <f>INDEX(Table2[Nama Produk],MATCH(Table1[[#This Row],[SKU]],Table2[SKU],0))</f>
        <v>Mechanical Keyboard</v>
      </c>
      <c r="H483" s="1" t="str">
        <f>VLOOKUP(Table1[[#This Row],[SKU]],Table2[],3,FALSE)</f>
        <v>Aksesori</v>
      </c>
      <c r="I483" s="37">
        <f>INDEX(Table2[Harga Jual],MATCH(Table1[[#This Row],[SKU]],Table2[SKU],0))</f>
        <v>850000</v>
      </c>
      <c r="J483" s="37">
        <f>VLOOKUP(Table1[[#This Row],[SKU]],Table2[],4,FALSE)</f>
        <v>450000</v>
      </c>
      <c r="K483" s="37">
        <f>INDEX(Table3[Biaya Kirim per Unit],MATCH(Table1[[#This Row],[Kota]],Table3[Kota],))</f>
        <v>35000</v>
      </c>
      <c r="L483" s="39">
        <f>VLOOKUP(Table1[[#This Row],[Kode_Promo]],Table4[],2,FALSE)</f>
        <v>0.3</v>
      </c>
      <c r="M483" s="37">
        <f>Table1[[#This Row],[Jumlah_Unit]]*Table1[[#This Row],[Harga_Satuan]]</f>
        <v>5950000</v>
      </c>
      <c r="N483" s="37">
        <f>Table1[[#This Row],[Total_Pendapatan_Kotor]]*Table1[[#This Row],[Persentase_Diskon]]</f>
        <v>1785000</v>
      </c>
      <c r="O483" s="37">
        <f>Table1[[#This Row],[Total_Pendapatan_Kotor]]-Table1[[#This Row],[Potongan_Diskon]]</f>
        <v>4165000</v>
      </c>
      <c r="P483" s="37">
        <f>(Table1[[#This Row],[Jumlah_Unit]]*Table1[[#This Row],[HPP_Satuan]])+(Table1[[#This Row],[Jumlah_Unit]]*Table1[[#This Row],[Biaya_Kirim_Satuan]])</f>
        <v>3395000</v>
      </c>
      <c r="Q483" s="37">
        <f>Table1[[#This Row],[Total_Pendapatan_Bersih]]-Table1[[#This Row],[Total_Biaya]]</f>
        <v>770000</v>
      </c>
      <c r="R483" s="5">
        <f>Table1[[#This Row],[Laba_Kotor]]/Table1[[#This Row],[Total_Pendapatan_Bersih]]</f>
        <v>0.18487394957983194</v>
      </c>
    </row>
    <row r="484" spans="1:18" ht="20.25" thickBot="1" x14ac:dyDescent="0.6">
      <c r="A484" s="3" t="s">
        <v>513</v>
      </c>
      <c r="B484" s="21">
        <v>45849</v>
      </c>
      <c r="C484" s="1" t="s">
        <v>27</v>
      </c>
      <c r="D484" s="1" t="s">
        <v>32</v>
      </c>
      <c r="E484" s="2">
        <v>2</v>
      </c>
      <c r="F484" s="1" t="s">
        <v>29</v>
      </c>
      <c r="G484" s="1" t="str">
        <f>INDEX(Table2[Nama Produk],MATCH(Table1[[#This Row],[SKU]],Table2[SKU],0))</f>
        <v>Monitor Ergonomis 27</v>
      </c>
      <c r="H484" s="1" t="str">
        <f>VLOOKUP(Table1[[#This Row],[SKU]],Table2[],3,FALSE)</f>
        <v>Elektronik</v>
      </c>
      <c r="I484" s="37">
        <f>INDEX(Table2[Harga Jual],MATCH(Table1[[#This Row],[SKU]],Table2[SKU],0))</f>
        <v>3400000</v>
      </c>
      <c r="J484" s="37">
        <f>VLOOKUP(Table1[[#This Row],[SKU]],Table2[],4,FALSE)</f>
        <v>2100000</v>
      </c>
      <c r="K484" s="37">
        <f>INDEX(Table3[Biaya Kirim per Unit],MATCH(Table1[[#This Row],[Kota]],Table3[Kota],))</f>
        <v>50000</v>
      </c>
      <c r="L484" s="39">
        <f>VLOOKUP(Table1[[#This Row],[Kode_Promo]],Table4[],2,FALSE)</f>
        <v>0</v>
      </c>
      <c r="M484" s="37">
        <f>Table1[[#This Row],[Jumlah_Unit]]*Table1[[#This Row],[Harga_Satuan]]</f>
        <v>6800000</v>
      </c>
      <c r="N484" s="37">
        <f>Table1[[#This Row],[Total_Pendapatan_Kotor]]*Table1[[#This Row],[Persentase_Diskon]]</f>
        <v>0</v>
      </c>
      <c r="O484" s="37">
        <f>Table1[[#This Row],[Total_Pendapatan_Kotor]]-Table1[[#This Row],[Potongan_Diskon]]</f>
        <v>6800000</v>
      </c>
      <c r="P484" s="37">
        <f>(Table1[[#This Row],[Jumlah_Unit]]*Table1[[#This Row],[HPP_Satuan]])+(Table1[[#This Row],[Jumlah_Unit]]*Table1[[#This Row],[Biaya_Kirim_Satuan]])</f>
        <v>4300000</v>
      </c>
      <c r="Q484" s="37">
        <f>Table1[[#This Row],[Total_Pendapatan_Bersih]]-Table1[[#This Row],[Total_Biaya]]</f>
        <v>2500000</v>
      </c>
      <c r="R484" s="5">
        <f>Table1[[#This Row],[Laba_Kotor]]/Table1[[#This Row],[Total_Pendapatan_Bersih]]</f>
        <v>0.36764705882352944</v>
      </c>
    </row>
    <row r="485" spans="1:18" ht="20.25" thickBot="1" x14ac:dyDescent="0.6">
      <c r="A485" s="3" t="s">
        <v>514</v>
      </c>
      <c r="B485" s="21">
        <v>45863</v>
      </c>
      <c r="C485" s="1" t="s">
        <v>31</v>
      </c>
      <c r="D485" s="1" t="s">
        <v>28</v>
      </c>
      <c r="E485" s="2">
        <v>5</v>
      </c>
      <c r="F485" s="1" t="s">
        <v>33</v>
      </c>
      <c r="G485" s="1" t="str">
        <f>INDEX(Table2[Nama Produk],MATCH(Table1[[#This Row],[SKU]],Table2[SKU],0))</f>
        <v>Kursi Kerja Ergonomis</v>
      </c>
      <c r="H485" s="1" t="str">
        <f>VLOOKUP(Table1[[#This Row],[SKU]],Table2[],3,FALSE)</f>
        <v>Furnitur</v>
      </c>
      <c r="I485" s="37">
        <f>INDEX(Table2[Harga Jual],MATCH(Table1[[#This Row],[SKU]],Table2[SKU],0))</f>
        <v>2100000</v>
      </c>
      <c r="J485" s="37">
        <f>VLOOKUP(Table1[[#This Row],[SKU]],Table2[],4,FALSE)</f>
        <v>1200000</v>
      </c>
      <c r="K485" s="37">
        <f>INDEX(Table3[Biaya Kirim per Unit],MATCH(Table1[[#This Row],[Kota]],Table3[Kota],))</f>
        <v>65000</v>
      </c>
      <c r="L485" s="39">
        <f>VLOOKUP(Table1[[#This Row],[Kode_Promo]],Table4[],2,FALSE)</f>
        <v>0.2</v>
      </c>
      <c r="M485" s="37">
        <f>Table1[[#This Row],[Jumlah_Unit]]*Table1[[#This Row],[Harga_Satuan]]</f>
        <v>10500000</v>
      </c>
      <c r="N485" s="37">
        <f>Table1[[#This Row],[Total_Pendapatan_Kotor]]*Table1[[#This Row],[Persentase_Diskon]]</f>
        <v>2100000</v>
      </c>
      <c r="O485" s="37">
        <f>Table1[[#This Row],[Total_Pendapatan_Kotor]]-Table1[[#This Row],[Potongan_Diskon]]</f>
        <v>8400000</v>
      </c>
      <c r="P485" s="37">
        <f>(Table1[[#This Row],[Jumlah_Unit]]*Table1[[#This Row],[HPP_Satuan]])+(Table1[[#This Row],[Jumlah_Unit]]*Table1[[#This Row],[Biaya_Kirim_Satuan]])</f>
        <v>6325000</v>
      </c>
      <c r="Q485" s="37">
        <f>Table1[[#This Row],[Total_Pendapatan_Bersih]]-Table1[[#This Row],[Total_Biaya]]</f>
        <v>2075000</v>
      </c>
      <c r="R485" s="5">
        <f>Table1[[#This Row],[Laba_Kotor]]/Table1[[#This Row],[Total_Pendapatan_Bersih]]</f>
        <v>0.24702380952380953</v>
      </c>
    </row>
    <row r="486" spans="1:18" ht="20.25" thickBot="1" x14ac:dyDescent="0.6">
      <c r="A486" s="3" t="s">
        <v>515</v>
      </c>
      <c r="B486" s="21">
        <v>45877</v>
      </c>
      <c r="C486" s="1" t="s">
        <v>19</v>
      </c>
      <c r="D486" s="1" t="s">
        <v>35</v>
      </c>
      <c r="E486" s="2">
        <v>1</v>
      </c>
      <c r="F486" s="1" t="s">
        <v>21</v>
      </c>
      <c r="G486" s="1" t="str">
        <f>INDEX(Table2[Nama Produk],MATCH(Table1[[#This Row],[SKU]],Table2[SKU],0))</f>
        <v>Meja Adjustable</v>
      </c>
      <c r="H486" s="1" t="str">
        <f>VLOOKUP(Table1[[#This Row],[SKU]],Table2[],3,FALSE)</f>
        <v>Furnitur</v>
      </c>
      <c r="I486" s="37">
        <f>INDEX(Table2[Harga Jual],MATCH(Table1[[#This Row],[SKU]],Table2[SKU],0))</f>
        <v>4200000</v>
      </c>
      <c r="J486" s="37">
        <f>VLOOKUP(Table1[[#This Row],[SKU]],Table2[],4,FALSE)</f>
        <v>2400000</v>
      </c>
      <c r="K486" s="37">
        <f>INDEX(Table3[Biaya Kirim per Unit],MATCH(Table1[[#This Row],[Kota]],Table3[Kota],))</f>
        <v>25000</v>
      </c>
      <c r="L486" s="39">
        <f>VLOOKUP(Table1[[#This Row],[Kode_Promo]],Table4[],2,FALSE)</f>
        <v>0.1</v>
      </c>
      <c r="M486" s="37">
        <f>Table1[[#This Row],[Jumlah_Unit]]*Table1[[#This Row],[Harga_Satuan]]</f>
        <v>4200000</v>
      </c>
      <c r="N486" s="37">
        <f>Table1[[#This Row],[Total_Pendapatan_Kotor]]*Table1[[#This Row],[Persentase_Diskon]]</f>
        <v>420000</v>
      </c>
      <c r="O486" s="37">
        <f>Table1[[#This Row],[Total_Pendapatan_Kotor]]-Table1[[#This Row],[Potongan_Diskon]]</f>
        <v>3780000</v>
      </c>
      <c r="P486" s="37">
        <f>(Table1[[#This Row],[Jumlah_Unit]]*Table1[[#This Row],[HPP_Satuan]])+(Table1[[#This Row],[Jumlah_Unit]]*Table1[[#This Row],[Biaya_Kirim_Satuan]])</f>
        <v>2425000</v>
      </c>
      <c r="Q486" s="37">
        <f>Table1[[#This Row],[Total_Pendapatan_Bersih]]-Table1[[#This Row],[Total_Biaya]]</f>
        <v>1355000</v>
      </c>
      <c r="R486" s="5">
        <f>Table1[[#This Row],[Laba_Kotor]]/Table1[[#This Row],[Total_Pendapatan_Bersih]]</f>
        <v>0.35846560846560849</v>
      </c>
    </row>
    <row r="487" spans="1:18" ht="20.25" thickBot="1" x14ac:dyDescent="0.6">
      <c r="A487" s="3" t="s">
        <v>516</v>
      </c>
      <c r="B487" s="21">
        <v>45891</v>
      </c>
      <c r="C487" s="1" t="s">
        <v>23</v>
      </c>
      <c r="D487" s="1" t="s">
        <v>20</v>
      </c>
      <c r="E487" s="2">
        <v>4</v>
      </c>
      <c r="F487" s="1" t="s">
        <v>29</v>
      </c>
      <c r="G487" s="1" t="str">
        <f>INDEX(Table2[Nama Produk],MATCH(Table1[[#This Row],[SKU]],Table2[SKU],0))</f>
        <v>Laptop Pro 14</v>
      </c>
      <c r="H487" s="1" t="str">
        <f>VLOOKUP(Table1[[#This Row],[SKU]],Table2[],3,FALSE)</f>
        <v>Elektronik</v>
      </c>
      <c r="I487" s="37">
        <f>INDEX(Table2[Harga Jual],MATCH(Table1[[#This Row],[SKU]],Table2[SKU],0))</f>
        <v>12000000</v>
      </c>
      <c r="J487" s="37">
        <f>VLOOKUP(Table1[[#This Row],[SKU]],Table2[],4,FALSE)</f>
        <v>8500000</v>
      </c>
      <c r="K487" s="37">
        <f>INDEX(Table3[Biaya Kirim per Unit],MATCH(Table1[[#This Row],[Kota]],Table3[Kota],))</f>
        <v>35000</v>
      </c>
      <c r="L487" s="39">
        <f>VLOOKUP(Table1[[#This Row],[Kode_Promo]],Table4[],2,FALSE)</f>
        <v>0</v>
      </c>
      <c r="M487" s="37">
        <f>Table1[[#This Row],[Jumlah_Unit]]*Table1[[#This Row],[Harga_Satuan]]</f>
        <v>48000000</v>
      </c>
      <c r="N487" s="37">
        <f>Table1[[#This Row],[Total_Pendapatan_Kotor]]*Table1[[#This Row],[Persentase_Diskon]]</f>
        <v>0</v>
      </c>
      <c r="O487" s="37">
        <f>Table1[[#This Row],[Total_Pendapatan_Kotor]]-Table1[[#This Row],[Potongan_Diskon]]</f>
        <v>48000000</v>
      </c>
      <c r="P487" s="37">
        <f>(Table1[[#This Row],[Jumlah_Unit]]*Table1[[#This Row],[HPP_Satuan]])+(Table1[[#This Row],[Jumlah_Unit]]*Table1[[#This Row],[Biaya_Kirim_Satuan]])</f>
        <v>34140000</v>
      </c>
      <c r="Q487" s="37">
        <f>Table1[[#This Row],[Total_Pendapatan_Bersih]]-Table1[[#This Row],[Total_Biaya]]</f>
        <v>13860000</v>
      </c>
      <c r="R487" s="5">
        <f>Table1[[#This Row],[Laba_Kotor]]/Table1[[#This Row],[Total_Pendapatan_Bersih]]</f>
        <v>0.28875000000000001</v>
      </c>
    </row>
    <row r="488" spans="1:18" ht="20.25" thickBot="1" x14ac:dyDescent="0.6">
      <c r="A488" s="3" t="s">
        <v>517</v>
      </c>
      <c r="B488" s="21">
        <v>45905</v>
      </c>
      <c r="C488" s="1" t="s">
        <v>27</v>
      </c>
      <c r="D488" s="1" t="s">
        <v>24</v>
      </c>
      <c r="E488" s="2">
        <v>6</v>
      </c>
      <c r="F488" s="1" t="s">
        <v>25</v>
      </c>
      <c r="G488" s="1" t="str">
        <f>INDEX(Table2[Nama Produk],MATCH(Table1[[#This Row],[SKU]],Table2[SKU],0))</f>
        <v>Mechanical Keyboard</v>
      </c>
      <c r="H488" s="1" t="str">
        <f>VLOOKUP(Table1[[#This Row],[SKU]],Table2[],3,FALSE)</f>
        <v>Aksesori</v>
      </c>
      <c r="I488" s="37">
        <f>INDEX(Table2[Harga Jual],MATCH(Table1[[#This Row],[SKU]],Table2[SKU],0))</f>
        <v>850000</v>
      </c>
      <c r="J488" s="37">
        <f>VLOOKUP(Table1[[#This Row],[SKU]],Table2[],4,FALSE)</f>
        <v>450000</v>
      </c>
      <c r="K488" s="37">
        <f>INDEX(Table3[Biaya Kirim per Unit],MATCH(Table1[[#This Row],[Kota]],Table3[Kota],))</f>
        <v>50000</v>
      </c>
      <c r="L488" s="39">
        <f>VLOOKUP(Table1[[#This Row],[Kode_Promo]],Table4[],2,FALSE)</f>
        <v>0.3</v>
      </c>
      <c r="M488" s="37">
        <f>Table1[[#This Row],[Jumlah_Unit]]*Table1[[#This Row],[Harga_Satuan]]</f>
        <v>5100000</v>
      </c>
      <c r="N488" s="37">
        <f>Table1[[#This Row],[Total_Pendapatan_Kotor]]*Table1[[#This Row],[Persentase_Diskon]]</f>
        <v>1530000</v>
      </c>
      <c r="O488" s="37">
        <f>Table1[[#This Row],[Total_Pendapatan_Kotor]]-Table1[[#This Row],[Potongan_Diskon]]</f>
        <v>3570000</v>
      </c>
      <c r="P488" s="37">
        <f>(Table1[[#This Row],[Jumlah_Unit]]*Table1[[#This Row],[HPP_Satuan]])+(Table1[[#This Row],[Jumlah_Unit]]*Table1[[#This Row],[Biaya_Kirim_Satuan]])</f>
        <v>3000000</v>
      </c>
      <c r="Q488" s="37">
        <f>Table1[[#This Row],[Total_Pendapatan_Bersih]]-Table1[[#This Row],[Total_Biaya]]</f>
        <v>570000</v>
      </c>
      <c r="R488" s="5">
        <f>Table1[[#This Row],[Laba_Kotor]]/Table1[[#This Row],[Total_Pendapatan_Bersih]]</f>
        <v>0.15966386554621848</v>
      </c>
    </row>
    <row r="489" spans="1:18" ht="20.25" thickBot="1" x14ac:dyDescent="0.6">
      <c r="A489" s="3" t="s">
        <v>518</v>
      </c>
      <c r="B489" s="21">
        <v>45919</v>
      </c>
      <c r="C489" s="1" t="s">
        <v>31</v>
      </c>
      <c r="D489" s="1" t="s">
        <v>32</v>
      </c>
      <c r="E489" s="2">
        <v>3</v>
      </c>
      <c r="F489" s="1" t="s">
        <v>33</v>
      </c>
      <c r="G489" s="1" t="str">
        <f>INDEX(Table2[Nama Produk],MATCH(Table1[[#This Row],[SKU]],Table2[SKU],0))</f>
        <v>Monitor Ergonomis 27</v>
      </c>
      <c r="H489" s="1" t="str">
        <f>VLOOKUP(Table1[[#This Row],[SKU]],Table2[],3,FALSE)</f>
        <v>Elektronik</v>
      </c>
      <c r="I489" s="37">
        <f>INDEX(Table2[Harga Jual],MATCH(Table1[[#This Row],[SKU]],Table2[SKU],0))</f>
        <v>3400000</v>
      </c>
      <c r="J489" s="37">
        <f>VLOOKUP(Table1[[#This Row],[SKU]],Table2[],4,FALSE)</f>
        <v>2100000</v>
      </c>
      <c r="K489" s="37">
        <f>INDEX(Table3[Biaya Kirim per Unit],MATCH(Table1[[#This Row],[Kota]],Table3[Kota],))</f>
        <v>65000</v>
      </c>
      <c r="L489" s="39">
        <f>VLOOKUP(Table1[[#This Row],[Kode_Promo]],Table4[],2,FALSE)</f>
        <v>0.2</v>
      </c>
      <c r="M489" s="37">
        <f>Table1[[#This Row],[Jumlah_Unit]]*Table1[[#This Row],[Harga_Satuan]]</f>
        <v>10200000</v>
      </c>
      <c r="N489" s="37">
        <f>Table1[[#This Row],[Total_Pendapatan_Kotor]]*Table1[[#This Row],[Persentase_Diskon]]</f>
        <v>2040000</v>
      </c>
      <c r="O489" s="37">
        <f>Table1[[#This Row],[Total_Pendapatan_Kotor]]-Table1[[#This Row],[Potongan_Diskon]]</f>
        <v>8160000</v>
      </c>
      <c r="P489" s="37">
        <f>(Table1[[#This Row],[Jumlah_Unit]]*Table1[[#This Row],[HPP_Satuan]])+(Table1[[#This Row],[Jumlah_Unit]]*Table1[[#This Row],[Biaya_Kirim_Satuan]])</f>
        <v>6495000</v>
      </c>
      <c r="Q489" s="37">
        <f>Table1[[#This Row],[Total_Pendapatan_Bersih]]-Table1[[#This Row],[Total_Biaya]]</f>
        <v>1665000</v>
      </c>
      <c r="R489" s="5">
        <f>Table1[[#This Row],[Laba_Kotor]]/Table1[[#This Row],[Total_Pendapatan_Bersih]]</f>
        <v>0.20404411764705882</v>
      </c>
    </row>
    <row r="490" spans="1:18" ht="20.25" thickBot="1" x14ac:dyDescent="0.6">
      <c r="A490" s="3" t="s">
        <v>519</v>
      </c>
      <c r="B490" s="21">
        <v>45933</v>
      </c>
      <c r="C490" s="1" t="s">
        <v>19</v>
      </c>
      <c r="D490" s="1" t="s">
        <v>28</v>
      </c>
      <c r="E490" s="2">
        <v>2</v>
      </c>
      <c r="F490" s="1" t="s">
        <v>21</v>
      </c>
      <c r="G490" s="1" t="str">
        <f>INDEX(Table2[Nama Produk],MATCH(Table1[[#This Row],[SKU]],Table2[SKU],0))</f>
        <v>Kursi Kerja Ergonomis</v>
      </c>
      <c r="H490" s="1" t="str">
        <f>VLOOKUP(Table1[[#This Row],[SKU]],Table2[],3,FALSE)</f>
        <v>Furnitur</v>
      </c>
      <c r="I490" s="37">
        <f>INDEX(Table2[Harga Jual],MATCH(Table1[[#This Row],[SKU]],Table2[SKU],0))</f>
        <v>2100000</v>
      </c>
      <c r="J490" s="37">
        <f>VLOOKUP(Table1[[#This Row],[SKU]],Table2[],4,FALSE)</f>
        <v>1200000</v>
      </c>
      <c r="K490" s="37">
        <f>INDEX(Table3[Biaya Kirim per Unit],MATCH(Table1[[#This Row],[Kota]],Table3[Kota],))</f>
        <v>25000</v>
      </c>
      <c r="L490" s="39">
        <f>VLOOKUP(Table1[[#This Row],[Kode_Promo]],Table4[],2,FALSE)</f>
        <v>0.1</v>
      </c>
      <c r="M490" s="37">
        <f>Table1[[#This Row],[Jumlah_Unit]]*Table1[[#This Row],[Harga_Satuan]]</f>
        <v>4200000</v>
      </c>
      <c r="N490" s="37">
        <f>Table1[[#This Row],[Total_Pendapatan_Kotor]]*Table1[[#This Row],[Persentase_Diskon]]</f>
        <v>420000</v>
      </c>
      <c r="O490" s="37">
        <f>Table1[[#This Row],[Total_Pendapatan_Kotor]]-Table1[[#This Row],[Potongan_Diskon]]</f>
        <v>3780000</v>
      </c>
      <c r="P490" s="37">
        <f>(Table1[[#This Row],[Jumlah_Unit]]*Table1[[#This Row],[HPP_Satuan]])+(Table1[[#This Row],[Jumlah_Unit]]*Table1[[#This Row],[Biaya_Kirim_Satuan]])</f>
        <v>2450000</v>
      </c>
      <c r="Q490" s="37">
        <f>Table1[[#This Row],[Total_Pendapatan_Bersih]]-Table1[[#This Row],[Total_Biaya]]</f>
        <v>1330000</v>
      </c>
      <c r="R490" s="5">
        <f>Table1[[#This Row],[Laba_Kotor]]/Table1[[#This Row],[Total_Pendapatan_Bersih]]</f>
        <v>0.35185185185185186</v>
      </c>
    </row>
    <row r="491" spans="1:18" ht="20.25" thickBot="1" x14ac:dyDescent="0.6">
      <c r="A491" s="3" t="s">
        <v>520</v>
      </c>
      <c r="B491" s="21">
        <v>45947</v>
      </c>
      <c r="C491" s="1" t="s">
        <v>23</v>
      </c>
      <c r="D491" s="1" t="s">
        <v>35</v>
      </c>
      <c r="E491" s="2">
        <v>3</v>
      </c>
      <c r="F491" s="1" t="s">
        <v>25</v>
      </c>
      <c r="G491" s="1" t="str">
        <f>INDEX(Table2[Nama Produk],MATCH(Table1[[#This Row],[SKU]],Table2[SKU],0))</f>
        <v>Meja Adjustable</v>
      </c>
      <c r="H491" s="1" t="str">
        <f>VLOOKUP(Table1[[#This Row],[SKU]],Table2[],3,FALSE)</f>
        <v>Furnitur</v>
      </c>
      <c r="I491" s="37">
        <f>INDEX(Table2[Harga Jual],MATCH(Table1[[#This Row],[SKU]],Table2[SKU],0))</f>
        <v>4200000</v>
      </c>
      <c r="J491" s="37">
        <f>VLOOKUP(Table1[[#This Row],[SKU]],Table2[],4,FALSE)</f>
        <v>2400000</v>
      </c>
      <c r="K491" s="37">
        <f>INDEX(Table3[Biaya Kirim per Unit],MATCH(Table1[[#This Row],[Kota]],Table3[Kota],))</f>
        <v>35000</v>
      </c>
      <c r="L491" s="39">
        <f>VLOOKUP(Table1[[#This Row],[Kode_Promo]],Table4[],2,FALSE)</f>
        <v>0.3</v>
      </c>
      <c r="M491" s="37">
        <f>Table1[[#This Row],[Jumlah_Unit]]*Table1[[#This Row],[Harga_Satuan]]</f>
        <v>12600000</v>
      </c>
      <c r="N491" s="37">
        <f>Table1[[#This Row],[Total_Pendapatan_Kotor]]*Table1[[#This Row],[Persentase_Diskon]]</f>
        <v>3780000</v>
      </c>
      <c r="O491" s="37">
        <f>Table1[[#This Row],[Total_Pendapatan_Kotor]]-Table1[[#This Row],[Potongan_Diskon]]</f>
        <v>8820000</v>
      </c>
      <c r="P491" s="37">
        <f>(Table1[[#This Row],[Jumlah_Unit]]*Table1[[#This Row],[HPP_Satuan]])+(Table1[[#This Row],[Jumlah_Unit]]*Table1[[#This Row],[Biaya_Kirim_Satuan]])</f>
        <v>7305000</v>
      </c>
      <c r="Q491" s="37">
        <f>Table1[[#This Row],[Total_Pendapatan_Bersih]]-Table1[[#This Row],[Total_Biaya]]</f>
        <v>1515000</v>
      </c>
      <c r="R491" s="5">
        <f>Table1[[#This Row],[Laba_Kotor]]/Table1[[#This Row],[Total_Pendapatan_Bersih]]</f>
        <v>0.17176870748299319</v>
      </c>
    </row>
    <row r="492" spans="1:18" ht="20.25" thickBot="1" x14ac:dyDescent="0.6">
      <c r="A492" s="3" t="s">
        <v>521</v>
      </c>
      <c r="B492" s="21">
        <v>45961</v>
      </c>
      <c r="C492" s="1" t="s">
        <v>27</v>
      </c>
      <c r="D492" s="1" t="s">
        <v>20</v>
      </c>
      <c r="E492" s="2">
        <v>1</v>
      </c>
      <c r="F492" s="1" t="s">
        <v>29</v>
      </c>
      <c r="G492" s="1" t="str">
        <f>INDEX(Table2[Nama Produk],MATCH(Table1[[#This Row],[SKU]],Table2[SKU],0))</f>
        <v>Laptop Pro 14</v>
      </c>
      <c r="H492" s="1" t="str">
        <f>VLOOKUP(Table1[[#This Row],[SKU]],Table2[],3,FALSE)</f>
        <v>Elektronik</v>
      </c>
      <c r="I492" s="37">
        <f>INDEX(Table2[Harga Jual],MATCH(Table1[[#This Row],[SKU]],Table2[SKU],0))</f>
        <v>12000000</v>
      </c>
      <c r="J492" s="37">
        <f>VLOOKUP(Table1[[#This Row],[SKU]],Table2[],4,FALSE)</f>
        <v>8500000</v>
      </c>
      <c r="K492" s="37">
        <f>INDEX(Table3[Biaya Kirim per Unit],MATCH(Table1[[#This Row],[Kota]],Table3[Kota],))</f>
        <v>50000</v>
      </c>
      <c r="L492" s="39">
        <f>VLOOKUP(Table1[[#This Row],[Kode_Promo]],Table4[],2,FALSE)</f>
        <v>0</v>
      </c>
      <c r="M492" s="37">
        <f>Table1[[#This Row],[Jumlah_Unit]]*Table1[[#This Row],[Harga_Satuan]]</f>
        <v>12000000</v>
      </c>
      <c r="N492" s="37">
        <f>Table1[[#This Row],[Total_Pendapatan_Kotor]]*Table1[[#This Row],[Persentase_Diskon]]</f>
        <v>0</v>
      </c>
      <c r="O492" s="37">
        <f>Table1[[#This Row],[Total_Pendapatan_Kotor]]-Table1[[#This Row],[Potongan_Diskon]]</f>
        <v>12000000</v>
      </c>
      <c r="P492" s="37">
        <f>(Table1[[#This Row],[Jumlah_Unit]]*Table1[[#This Row],[HPP_Satuan]])+(Table1[[#This Row],[Jumlah_Unit]]*Table1[[#This Row],[Biaya_Kirim_Satuan]])</f>
        <v>8550000</v>
      </c>
      <c r="Q492" s="37">
        <f>Table1[[#This Row],[Total_Pendapatan_Bersih]]-Table1[[#This Row],[Total_Biaya]]</f>
        <v>3450000</v>
      </c>
      <c r="R492" s="5">
        <f>Table1[[#This Row],[Laba_Kotor]]/Table1[[#This Row],[Total_Pendapatan_Bersih]]</f>
        <v>0.28749999999999998</v>
      </c>
    </row>
    <row r="493" spans="1:18" ht="20.25" thickBot="1" x14ac:dyDescent="0.6">
      <c r="A493" s="3" t="s">
        <v>522</v>
      </c>
      <c r="B493" s="21">
        <v>45975</v>
      </c>
      <c r="C493" s="1" t="s">
        <v>31</v>
      </c>
      <c r="D493" s="1" t="s">
        <v>24</v>
      </c>
      <c r="E493" s="2">
        <v>8</v>
      </c>
      <c r="F493" s="1" t="s">
        <v>33</v>
      </c>
      <c r="G493" s="1" t="str">
        <f>INDEX(Table2[Nama Produk],MATCH(Table1[[#This Row],[SKU]],Table2[SKU],0))</f>
        <v>Mechanical Keyboard</v>
      </c>
      <c r="H493" s="1" t="str">
        <f>VLOOKUP(Table1[[#This Row],[SKU]],Table2[],3,FALSE)</f>
        <v>Aksesori</v>
      </c>
      <c r="I493" s="37">
        <f>INDEX(Table2[Harga Jual],MATCH(Table1[[#This Row],[SKU]],Table2[SKU],0))</f>
        <v>850000</v>
      </c>
      <c r="J493" s="37">
        <f>VLOOKUP(Table1[[#This Row],[SKU]],Table2[],4,FALSE)</f>
        <v>450000</v>
      </c>
      <c r="K493" s="37">
        <f>INDEX(Table3[Biaya Kirim per Unit],MATCH(Table1[[#This Row],[Kota]],Table3[Kota],))</f>
        <v>65000</v>
      </c>
      <c r="L493" s="39">
        <f>VLOOKUP(Table1[[#This Row],[Kode_Promo]],Table4[],2,FALSE)</f>
        <v>0.2</v>
      </c>
      <c r="M493" s="37">
        <f>Table1[[#This Row],[Jumlah_Unit]]*Table1[[#This Row],[Harga_Satuan]]</f>
        <v>6800000</v>
      </c>
      <c r="N493" s="37">
        <f>Table1[[#This Row],[Total_Pendapatan_Kotor]]*Table1[[#This Row],[Persentase_Diskon]]</f>
        <v>1360000</v>
      </c>
      <c r="O493" s="37">
        <f>Table1[[#This Row],[Total_Pendapatan_Kotor]]-Table1[[#This Row],[Potongan_Diskon]]</f>
        <v>5440000</v>
      </c>
      <c r="P493" s="37">
        <f>(Table1[[#This Row],[Jumlah_Unit]]*Table1[[#This Row],[HPP_Satuan]])+(Table1[[#This Row],[Jumlah_Unit]]*Table1[[#This Row],[Biaya_Kirim_Satuan]])</f>
        <v>4120000</v>
      </c>
      <c r="Q493" s="37">
        <f>Table1[[#This Row],[Total_Pendapatan_Bersih]]-Table1[[#This Row],[Total_Biaya]]</f>
        <v>1320000</v>
      </c>
      <c r="R493" s="5">
        <f>Table1[[#This Row],[Laba_Kotor]]/Table1[[#This Row],[Total_Pendapatan_Bersih]]</f>
        <v>0.24264705882352941</v>
      </c>
    </row>
    <row r="494" spans="1:18" ht="20.25" thickBot="1" x14ac:dyDescent="0.6">
      <c r="A494" s="3" t="s">
        <v>523</v>
      </c>
      <c r="B494" s="21">
        <v>45989</v>
      </c>
      <c r="C494" s="1" t="s">
        <v>19</v>
      </c>
      <c r="D494" s="1" t="s">
        <v>32</v>
      </c>
      <c r="E494" s="2">
        <v>4</v>
      </c>
      <c r="F494" s="1" t="s">
        <v>21</v>
      </c>
      <c r="G494" s="1" t="str">
        <f>INDEX(Table2[Nama Produk],MATCH(Table1[[#This Row],[SKU]],Table2[SKU],0))</f>
        <v>Monitor Ergonomis 27</v>
      </c>
      <c r="H494" s="1" t="str">
        <f>VLOOKUP(Table1[[#This Row],[SKU]],Table2[],3,FALSE)</f>
        <v>Elektronik</v>
      </c>
      <c r="I494" s="37">
        <f>INDEX(Table2[Harga Jual],MATCH(Table1[[#This Row],[SKU]],Table2[SKU],0))</f>
        <v>3400000</v>
      </c>
      <c r="J494" s="37">
        <f>VLOOKUP(Table1[[#This Row],[SKU]],Table2[],4,FALSE)</f>
        <v>2100000</v>
      </c>
      <c r="K494" s="37">
        <f>INDEX(Table3[Biaya Kirim per Unit],MATCH(Table1[[#This Row],[Kota]],Table3[Kota],))</f>
        <v>25000</v>
      </c>
      <c r="L494" s="39">
        <f>VLOOKUP(Table1[[#This Row],[Kode_Promo]],Table4[],2,FALSE)</f>
        <v>0.1</v>
      </c>
      <c r="M494" s="37">
        <f>Table1[[#This Row],[Jumlah_Unit]]*Table1[[#This Row],[Harga_Satuan]]</f>
        <v>13600000</v>
      </c>
      <c r="N494" s="37">
        <f>Table1[[#This Row],[Total_Pendapatan_Kotor]]*Table1[[#This Row],[Persentase_Diskon]]</f>
        <v>1360000</v>
      </c>
      <c r="O494" s="37">
        <f>Table1[[#This Row],[Total_Pendapatan_Kotor]]-Table1[[#This Row],[Potongan_Diskon]]</f>
        <v>12240000</v>
      </c>
      <c r="P494" s="37">
        <f>(Table1[[#This Row],[Jumlah_Unit]]*Table1[[#This Row],[HPP_Satuan]])+(Table1[[#This Row],[Jumlah_Unit]]*Table1[[#This Row],[Biaya_Kirim_Satuan]])</f>
        <v>8500000</v>
      </c>
      <c r="Q494" s="37">
        <f>Table1[[#This Row],[Total_Pendapatan_Bersih]]-Table1[[#This Row],[Total_Biaya]]</f>
        <v>3740000</v>
      </c>
      <c r="R494" s="5">
        <f>Table1[[#This Row],[Laba_Kotor]]/Table1[[#This Row],[Total_Pendapatan_Bersih]]</f>
        <v>0.30555555555555558</v>
      </c>
    </row>
    <row r="495" spans="1:18" ht="20.25" thickBot="1" x14ac:dyDescent="0.6">
      <c r="A495" s="3" t="s">
        <v>524</v>
      </c>
      <c r="B495" s="21">
        <v>46003</v>
      </c>
      <c r="C495" s="1" t="s">
        <v>23</v>
      </c>
      <c r="D495" s="1" t="s">
        <v>28</v>
      </c>
      <c r="E495" s="2">
        <v>2</v>
      </c>
      <c r="F495" s="1" t="s">
        <v>25</v>
      </c>
      <c r="G495" s="1" t="str">
        <f>INDEX(Table2[Nama Produk],MATCH(Table1[[#This Row],[SKU]],Table2[SKU],0))</f>
        <v>Kursi Kerja Ergonomis</v>
      </c>
      <c r="H495" s="1" t="str">
        <f>VLOOKUP(Table1[[#This Row],[SKU]],Table2[],3,FALSE)</f>
        <v>Furnitur</v>
      </c>
      <c r="I495" s="37">
        <f>INDEX(Table2[Harga Jual],MATCH(Table1[[#This Row],[SKU]],Table2[SKU],0))</f>
        <v>2100000</v>
      </c>
      <c r="J495" s="37">
        <f>VLOOKUP(Table1[[#This Row],[SKU]],Table2[],4,FALSE)</f>
        <v>1200000</v>
      </c>
      <c r="K495" s="37">
        <f>INDEX(Table3[Biaya Kirim per Unit],MATCH(Table1[[#This Row],[Kota]],Table3[Kota],))</f>
        <v>35000</v>
      </c>
      <c r="L495" s="39">
        <f>VLOOKUP(Table1[[#This Row],[Kode_Promo]],Table4[],2,FALSE)</f>
        <v>0.3</v>
      </c>
      <c r="M495" s="37">
        <f>Table1[[#This Row],[Jumlah_Unit]]*Table1[[#This Row],[Harga_Satuan]]</f>
        <v>4200000</v>
      </c>
      <c r="N495" s="37">
        <f>Table1[[#This Row],[Total_Pendapatan_Kotor]]*Table1[[#This Row],[Persentase_Diskon]]</f>
        <v>1260000</v>
      </c>
      <c r="O495" s="37">
        <f>Table1[[#This Row],[Total_Pendapatan_Kotor]]-Table1[[#This Row],[Potongan_Diskon]]</f>
        <v>2940000</v>
      </c>
      <c r="P495" s="37">
        <f>(Table1[[#This Row],[Jumlah_Unit]]*Table1[[#This Row],[HPP_Satuan]])+(Table1[[#This Row],[Jumlah_Unit]]*Table1[[#This Row],[Biaya_Kirim_Satuan]])</f>
        <v>2470000</v>
      </c>
      <c r="Q495" s="37">
        <f>Table1[[#This Row],[Total_Pendapatan_Bersih]]-Table1[[#This Row],[Total_Biaya]]</f>
        <v>470000</v>
      </c>
      <c r="R495" s="5">
        <f>Table1[[#This Row],[Laba_Kotor]]/Table1[[#This Row],[Total_Pendapatan_Bersih]]</f>
        <v>0.1598639455782313</v>
      </c>
    </row>
    <row r="496" spans="1:18" ht="20.25" thickBot="1" x14ac:dyDescent="0.6">
      <c r="A496" s="3" t="s">
        <v>525</v>
      </c>
      <c r="B496" s="21">
        <v>46017</v>
      </c>
      <c r="C496" s="1" t="s">
        <v>27</v>
      </c>
      <c r="D496" s="1" t="s">
        <v>35</v>
      </c>
      <c r="E496" s="2">
        <v>5</v>
      </c>
      <c r="F496" s="1" t="s">
        <v>29</v>
      </c>
      <c r="G496" s="1" t="str">
        <f>INDEX(Table2[Nama Produk],MATCH(Table1[[#This Row],[SKU]],Table2[SKU],0))</f>
        <v>Meja Adjustable</v>
      </c>
      <c r="H496" s="1" t="str">
        <f>VLOOKUP(Table1[[#This Row],[SKU]],Table2[],3,FALSE)</f>
        <v>Furnitur</v>
      </c>
      <c r="I496" s="37">
        <f>INDEX(Table2[Harga Jual],MATCH(Table1[[#This Row],[SKU]],Table2[SKU],0))</f>
        <v>4200000</v>
      </c>
      <c r="J496" s="37">
        <f>VLOOKUP(Table1[[#This Row],[SKU]],Table2[],4,FALSE)</f>
        <v>2400000</v>
      </c>
      <c r="K496" s="37">
        <f>INDEX(Table3[Biaya Kirim per Unit],MATCH(Table1[[#This Row],[Kota]],Table3[Kota],))</f>
        <v>50000</v>
      </c>
      <c r="L496" s="39">
        <f>VLOOKUP(Table1[[#This Row],[Kode_Promo]],Table4[],2,FALSE)</f>
        <v>0</v>
      </c>
      <c r="M496" s="37">
        <f>Table1[[#This Row],[Jumlah_Unit]]*Table1[[#This Row],[Harga_Satuan]]</f>
        <v>21000000</v>
      </c>
      <c r="N496" s="37">
        <f>Table1[[#This Row],[Total_Pendapatan_Kotor]]*Table1[[#This Row],[Persentase_Diskon]]</f>
        <v>0</v>
      </c>
      <c r="O496" s="37">
        <f>Table1[[#This Row],[Total_Pendapatan_Kotor]]-Table1[[#This Row],[Potongan_Diskon]]</f>
        <v>21000000</v>
      </c>
      <c r="P496" s="37">
        <f>(Table1[[#This Row],[Jumlah_Unit]]*Table1[[#This Row],[HPP_Satuan]])+(Table1[[#This Row],[Jumlah_Unit]]*Table1[[#This Row],[Biaya_Kirim_Satuan]])</f>
        <v>12250000</v>
      </c>
      <c r="Q496" s="37">
        <f>Table1[[#This Row],[Total_Pendapatan_Bersih]]-Table1[[#This Row],[Total_Biaya]]</f>
        <v>8750000</v>
      </c>
      <c r="R496" s="5">
        <f>Table1[[#This Row],[Laba_Kotor]]/Table1[[#This Row],[Total_Pendapatan_Bersih]]</f>
        <v>0.41666666666666669</v>
      </c>
    </row>
    <row r="497" spans="1:18" ht="20.25" thickBot="1" x14ac:dyDescent="0.6">
      <c r="A497" s="3" t="s">
        <v>526</v>
      </c>
      <c r="B497" s="21">
        <v>45838</v>
      </c>
      <c r="C497" s="1" t="s">
        <v>31</v>
      </c>
      <c r="D497" s="1" t="s">
        <v>20</v>
      </c>
      <c r="E497" s="2">
        <v>3</v>
      </c>
      <c r="F497" s="1" t="s">
        <v>33</v>
      </c>
      <c r="G497" s="1" t="str">
        <f>INDEX(Table2[Nama Produk],MATCH(Table1[[#This Row],[SKU]],Table2[SKU],0))</f>
        <v>Laptop Pro 14</v>
      </c>
      <c r="H497" s="1" t="str">
        <f>VLOOKUP(Table1[[#This Row],[SKU]],Table2[],3,FALSE)</f>
        <v>Elektronik</v>
      </c>
      <c r="I497" s="37">
        <f>INDEX(Table2[Harga Jual],MATCH(Table1[[#This Row],[SKU]],Table2[SKU],0))</f>
        <v>12000000</v>
      </c>
      <c r="J497" s="37">
        <f>VLOOKUP(Table1[[#This Row],[SKU]],Table2[],4,FALSE)</f>
        <v>8500000</v>
      </c>
      <c r="K497" s="37">
        <f>INDEX(Table3[Biaya Kirim per Unit],MATCH(Table1[[#This Row],[Kota]],Table3[Kota],))</f>
        <v>65000</v>
      </c>
      <c r="L497" s="39">
        <f>VLOOKUP(Table1[[#This Row],[Kode_Promo]],Table4[],2,FALSE)</f>
        <v>0.2</v>
      </c>
      <c r="M497" s="37">
        <f>Table1[[#This Row],[Jumlah_Unit]]*Table1[[#This Row],[Harga_Satuan]]</f>
        <v>36000000</v>
      </c>
      <c r="N497" s="37">
        <f>Table1[[#This Row],[Total_Pendapatan_Kotor]]*Table1[[#This Row],[Persentase_Diskon]]</f>
        <v>7200000</v>
      </c>
      <c r="O497" s="37">
        <f>Table1[[#This Row],[Total_Pendapatan_Kotor]]-Table1[[#This Row],[Potongan_Diskon]]</f>
        <v>28800000</v>
      </c>
      <c r="P497" s="37">
        <f>(Table1[[#This Row],[Jumlah_Unit]]*Table1[[#This Row],[HPP_Satuan]])+(Table1[[#This Row],[Jumlah_Unit]]*Table1[[#This Row],[Biaya_Kirim_Satuan]])</f>
        <v>25695000</v>
      </c>
      <c r="Q497" s="37">
        <f>Table1[[#This Row],[Total_Pendapatan_Bersih]]-Table1[[#This Row],[Total_Biaya]]</f>
        <v>3105000</v>
      </c>
      <c r="R497" s="5">
        <f>Table1[[#This Row],[Laba_Kotor]]/Table1[[#This Row],[Total_Pendapatan_Bersih]]</f>
        <v>0.10781250000000001</v>
      </c>
    </row>
    <row r="498" spans="1:18" ht="20.25" thickBot="1" x14ac:dyDescent="0.6">
      <c r="A498" s="3" t="s">
        <v>527</v>
      </c>
      <c r="B498" s="21">
        <v>45853</v>
      </c>
      <c r="C498" s="1" t="s">
        <v>19</v>
      </c>
      <c r="D498" s="1" t="s">
        <v>24</v>
      </c>
      <c r="E498" s="2">
        <v>4</v>
      </c>
      <c r="F498" s="1" t="s">
        <v>21</v>
      </c>
      <c r="G498" s="1" t="str">
        <f>INDEX(Table2[Nama Produk],MATCH(Table1[[#This Row],[SKU]],Table2[SKU],0))</f>
        <v>Mechanical Keyboard</v>
      </c>
      <c r="H498" s="1" t="str">
        <f>VLOOKUP(Table1[[#This Row],[SKU]],Table2[],3,FALSE)</f>
        <v>Aksesori</v>
      </c>
      <c r="I498" s="37">
        <f>INDEX(Table2[Harga Jual],MATCH(Table1[[#This Row],[SKU]],Table2[SKU],0))</f>
        <v>850000</v>
      </c>
      <c r="J498" s="37">
        <f>VLOOKUP(Table1[[#This Row],[SKU]],Table2[],4,FALSE)</f>
        <v>450000</v>
      </c>
      <c r="K498" s="37">
        <f>INDEX(Table3[Biaya Kirim per Unit],MATCH(Table1[[#This Row],[Kota]],Table3[Kota],))</f>
        <v>25000</v>
      </c>
      <c r="L498" s="39">
        <f>VLOOKUP(Table1[[#This Row],[Kode_Promo]],Table4[],2,FALSE)</f>
        <v>0.1</v>
      </c>
      <c r="M498" s="37">
        <f>Table1[[#This Row],[Jumlah_Unit]]*Table1[[#This Row],[Harga_Satuan]]</f>
        <v>3400000</v>
      </c>
      <c r="N498" s="37">
        <f>Table1[[#This Row],[Total_Pendapatan_Kotor]]*Table1[[#This Row],[Persentase_Diskon]]</f>
        <v>340000</v>
      </c>
      <c r="O498" s="37">
        <f>Table1[[#This Row],[Total_Pendapatan_Kotor]]-Table1[[#This Row],[Potongan_Diskon]]</f>
        <v>3060000</v>
      </c>
      <c r="P498" s="37">
        <f>(Table1[[#This Row],[Jumlah_Unit]]*Table1[[#This Row],[HPP_Satuan]])+(Table1[[#This Row],[Jumlah_Unit]]*Table1[[#This Row],[Biaya_Kirim_Satuan]])</f>
        <v>1900000</v>
      </c>
      <c r="Q498" s="37">
        <f>Table1[[#This Row],[Total_Pendapatan_Bersih]]-Table1[[#This Row],[Total_Biaya]]</f>
        <v>1160000</v>
      </c>
      <c r="R498" s="5">
        <f>Table1[[#This Row],[Laba_Kotor]]/Table1[[#This Row],[Total_Pendapatan_Bersih]]</f>
        <v>0.37908496732026142</v>
      </c>
    </row>
    <row r="499" spans="1:18" ht="20.25" thickBot="1" x14ac:dyDescent="0.6">
      <c r="A499" s="3" t="s">
        <v>528</v>
      </c>
      <c r="B499" s="21">
        <v>45884</v>
      </c>
      <c r="C499" s="1" t="s">
        <v>23</v>
      </c>
      <c r="D499" s="1" t="s">
        <v>32</v>
      </c>
      <c r="E499" s="2">
        <v>2</v>
      </c>
      <c r="F499" s="1" t="s">
        <v>25</v>
      </c>
      <c r="G499" s="1" t="str">
        <f>INDEX(Table2[Nama Produk],MATCH(Table1[[#This Row],[SKU]],Table2[SKU],0))</f>
        <v>Monitor Ergonomis 27</v>
      </c>
      <c r="H499" s="1" t="str">
        <f>VLOOKUP(Table1[[#This Row],[SKU]],Table2[],3,FALSE)</f>
        <v>Elektronik</v>
      </c>
      <c r="I499" s="37">
        <f>INDEX(Table2[Harga Jual],MATCH(Table1[[#This Row],[SKU]],Table2[SKU],0))</f>
        <v>3400000</v>
      </c>
      <c r="J499" s="37">
        <f>VLOOKUP(Table1[[#This Row],[SKU]],Table2[],4,FALSE)</f>
        <v>2100000</v>
      </c>
      <c r="K499" s="37">
        <f>INDEX(Table3[Biaya Kirim per Unit],MATCH(Table1[[#This Row],[Kota]],Table3[Kota],))</f>
        <v>35000</v>
      </c>
      <c r="L499" s="39">
        <f>VLOOKUP(Table1[[#This Row],[Kode_Promo]],Table4[],2,FALSE)</f>
        <v>0.3</v>
      </c>
      <c r="M499" s="37">
        <f>Table1[[#This Row],[Jumlah_Unit]]*Table1[[#This Row],[Harga_Satuan]]</f>
        <v>6800000</v>
      </c>
      <c r="N499" s="37">
        <f>Table1[[#This Row],[Total_Pendapatan_Kotor]]*Table1[[#This Row],[Persentase_Diskon]]</f>
        <v>2040000</v>
      </c>
      <c r="O499" s="37">
        <f>Table1[[#This Row],[Total_Pendapatan_Kotor]]-Table1[[#This Row],[Potongan_Diskon]]</f>
        <v>4760000</v>
      </c>
      <c r="P499" s="37">
        <f>(Table1[[#This Row],[Jumlah_Unit]]*Table1[[#This Row],[HPP_Satuan]])+(Table1[[#This Row],[Jumlah_Unit]]*Table1[[#This Row],[Biaya_Kirim_Satuan]])</f>
        <v>4270000</v>
      </c>
      <c r="Q499" s="37">
        <f>Table1[[#This Row],[Total_Pendapatan_Bersih]]-Table1[[#This Row],[Total_Biaya]]</f>
        <v>490000</v>
      </c>
      <c r="R499" s="5">
        <f>Table1[[#This Row],[Laba_Kotor]]/Table1[[#This Row],[Total_Pendapatan_Bersih]]</f>
        <v>0.10294117647058823</v>
      </c>
    </row>
    <row r="500" spans="1:18" ht="20.25" thickBot="1" x14ac:dyDescent="0.6">
      <c r="A500" s="3" t="s">
        <v>529</v>
      </c>
      <c r="B500" s="21">
        <v>45915</v>
      </c>
      <c r="C500" s="1" t="s">
        <v>27</v>
      </c>
      <c r="D500" s="1" t="s">
        <v>28</v>
      </c>
      <c r="E500" s="2">
        <v>3</v>
      </c>
      <c r="F500" s="1" t="s">
        <v>29</v>
      </c>
      <c r="G500" s="1" t="str">
        <f>INDEX(Table2[Nama Produk],MATCH(Table1[[#This Row],[SKU]],Table2[SKU],0))</f>
        <v>Kursi Kerja Ergonomis</v>
      </c>
      <c r="H500" s="1" t="str">
        <f>VLOOKUP(Table1[[#This Row],[SKU]],Table2[],3,FALSE)</f>
        <v>Furnitur</v>
      </c>
      <c r="I500" s="37">
        <f>INDEX(Table2[Harga Jual],MATCH(Table1[[#This Row],[SKU]],Table2[SKU],0))</f>
        <v>2100000</v>
      </c>
      <c r="J500" s="37">
        <f>VLOOKUP(Table1[[#This Row],[SKU]],Table2[],4,FALSE)</f>
        <v>1200000</v>
      </c>
      <c r="K500" s="37">
        <f>INDEX(Table3[Biaya Kirim per Unit],MATCH(Table1[[#This Row],[Kota]],Table3[Kota],))</f>
        <v>50000</v>
      </c>
      <c r="L500" s="39">
        <f>VLOOKUP(Table1[[#This Row],[Kode_Promo]],Table4[],2,FALSE)</f>
        <v>0</v>
      </c>
      <c r="M500" s="37">
        <f>Table1[[#This Row],[Jumlah_Unit]]*Table1[[#This Row],[Harga_Satuan]]</f>
        <v>6300000</v>
      </c>
      <c r="N500" s="37">
        <f>Table1[[#This Row],[Total_Pendapatan_Kotor]]*Table1[[#This Row],[Persentase_Diskon]]</f>
        <v>0</v>
      </c>
      <c r="O500" s="37">
        <f>Table1[[#This Row],[Total_Pendapatan_Kotor]]-Table1[[#This Row],[Potongan_Diskon]]</f>
        <v>6300000</v>
      </c>
      <c r="P500" s="37">
        <f>(Table1[[#This Row],[Jumlah_Unit]]*Table1[[#This Row],[HPP_Satuan]])+(Table1[[#This Row],[Jumlah_Unit]]*Table1[[#This Row],[Biaya_Kirim_Satuan]])</f>
        <v>3750000</v>
      </c>
      <c r="Q500" s="37">
        <f>Table1[[#This Row],[Total_Pendapatan_Bersih]]-Table1[[#This Row],[Total_Biaya]]</f>
        <v>2550000</v>
      </c>
      <c r="R500" s="5">
        <f>Table1[[#This Row],[Laba_Kotor]]/Table1[[#This Row],[Total_Pendapatan_Bersih]]</f>
        <v>0.40476190476190477</v>
      </c>
    </row>
    <row r="501" spans="1:18" ht="19.5" x14ac:dyDescent="0.55000000000000004">
      <c r="A501" s="9" t="s">
        <v>530</v>
      </c>
      <c r="B501" s="22">
        <v>45945</v>
      </c>
      <c r="C501" s="10" t="s">
        <v>31</v>
      </c>
      <c r="D501" s="10" t="s">
        <v>35</v>
      </c>
      <c r="E501" s="11">
        <v>2</v>
      </c>
      <c r="F501" s="10" t="s">
        <v>33</v>
      </c>
      <c r="G501" s="10" t="str">
        <f>INDEX(Table2[Nama Produk],MATCH(Table1[[#This Row],[SKU]],Table2[SKU],0))</f>
        <v>Meja Adjustable</v>
      </c>
      <c r="H501" s="10" t="str">
        <f>VLOOKUP(Table1[[#This Row],[SKU]],Table2[],3,FALSE)</f>
        <v>Furnitur</v>
      </c>
      <c r="I501" s="38">
        <f>INDEX(Table2[Harga Jual],MATCH(Table1[[#This Row],[SKU]],Table2[SKU],0))</f>
        <v>4200000</v>
      </c>
      <c r="J501" s="38">
        <f>VLOOKUP(Table1[[#This Row],[SKU]],Table2[],4,FALSE)</f>
        <v>2400000</v>
      </c>
      <c r="K501" s="38">
        <f>INDEX(Table3[Biaya Kirim per Unit],MATCH(Table1[[#This Row],[Kota]],Table3[Kota],))</f>
        <v>65000</v>
      </c>
      <c r="L501" s="40">
        <f>VLOOKUP(Table1[[#This Row],[Kode_Promo]],Table4[],2,FALSE)</f>
        <v>0.2</v>
      </c>
      <c r="M501" s="38">
        <f>Table1[[#This Row],[Jumlah_Unit]]*Table1[[#This Row],[Harga_Satuan]]</f>
        <v>8400000</v>
      </c>
      <c r="N501" s="38">
        <f>Table1[[#This Row],[Total_Pendapatan_Kotor]]*Table1[[#This Row],[Persentase_Diskon]]</f>
        <v>1680000</v>
      </c>
      <c r="O501" s="38">
        <f>Table1[[#This Row],[Total_Pendapatan_Kotor]]-Table1[[#This Row],[Potongan_Diskon]]</f>
        <v>6720000</v>
      </c>
      <c r="P501" s="38">
        <f>(Table1[[#This Row],[Jumlah_Unit]]*Table1[[#This Row],[HPP_Satuan]])+(Table1[[#This Row],[Jumlah_Unit]]*Table1[[#This Row],[Biaya_Kirim_Satuan]])</f>
        <v>4930000</v>
      </c>
      <c r="Q501" s="38">
        <f>Table1[[#This Row],[Total_Pendapatan_Bersih]]-Table1[[#This Row],[Total_Biaya]]</f>
        <v>1790000</v>
      </c>
      <c r="R501" s="12">
        <f>Table1[[#This Row],[Laba_Kotor]]/Table1[[#This Row],[Total_Pendapatan_Bersih]]</f>
        <v>0.26636904761904762</v>
      </c>
    </row>
  </sheetData>
  <conditionalFormatting sqref="A2:R501">
    <cfRule type="expression" dxfId="6" priority="1">
      <formula>$E2 &gt; 5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4A2AE-8877-431D-ACF0-202CB0588892}">
  <dimension ref="A1:E6"/>
  <sheetViews>
    <sheetView workbookViewId="0">
      <selection activeCell="D1" sqref="D1:E1048576"/>
    </sheetView>
  </sheetViews>
  <sheetFormatPr defaultRowHeight="15" x14ac:dyDescent="0.25"/>
  <cols>
    <col min="1" max="1" width="8.140625" bestFit="1" customWidth="1"/>
    <col min="2" max="2" width="21.5703125" bestFit="1" customWidth="1"/>
    <col min="3" max="3" width="11.42578125" customWidth="1"/>
    <col min="4" max="4" width="15.5703125" style="26" bestFit="1" customWidth="1"/>
    <col min="5" max="5" width="16" style="26" bestFit="1" customWidth="1"/>
  </cols>
  <sheetData>
    <row r="1" spans="1:5" ht="20.25" thickBot="1" x14ac:dyDescent="0.6">
      <c r="A1" s="6" t="s">
        <v>3</v>
      </c>
      <c r="B1" s="7" t="s">
        <v>531</v>
      </c>
      <c r="C1" s="7" t="s">
        <v>7</v>
      </c>
      <c r="D1" s="27" t="s">
        <v>532</v>
      </c>
      <c r="E1" s="28" t="s">
        <v>533</v>
      </c>
    </row>
    <row r="2" spans="1:5" ht="20.25" thickBot="1" x14ac:dyDescent="0.6">
      <c r="A2" s="3" t="s">
        <v>20</v>
      </c>
      <c r="B2" s="1" t="s">
        <v>534</v>
      </c>
      <c r="C2" s="1" t="s">
        <v>535</v>
      </c>
      <c r="D2" s="29">
        <v>8500000</v>
      </c>
      <c r="E2" s="24">
        <v>12000000</v>
      </c>
    </row>
    <row r="3" spans="1:5" ht="20.25" thickBot="1" x14ac:dyDescent="0.6">
      <c r="A3" s="3" t="s">
        <v>24</v>
      </c>
      <c r="B3" s="1" t="s">
        <v>536</v>
      </c>
      <c r="C3" s="1" t="s">
        <v>537</v>
      </c>
      <c r="D3" s="29">
        <v>450000</v>
      </c>
      <c r="E3" s="24">
        <v>850000</v>
      </c>
    </row>
    <row r="4" spans="1:5" ht="20.25" thickBot="1" x14ac:dyDescent="0.6">
      <c r="A4" s="3" t="s">
        <v>32</v>
      </c>
      <c r="B4" s="1" t="s">
        <v>538</v>
      </c>
      <c r="C4" s="1" t="s">
        <v>535</v>
      </c>
      <c r="D4" s="29">
        <v>2100000</v>
      </c>
      <c r="E4" s="24">
        <v>3400000</v>
      </c>
    </row>
    <row r="5" spans="1:5" ht="20.25" thickBot="1" x14ac:dyDescent="0.6">
      <c r="A5" s="3" t="s">
        <v>28</v>
      </c>
      <c r="B5" s="1" t="s">
        <v>539</v>
      </c>
      <c r="C5" s="1" t="s">
        <v>540</v>
      </c>
      <c r="D5" s="29">
        <v>1200000</v>
      </c>
      <c r="E5" s="24">
        <v>2100000</v>
      </c>
    </row>
    <row r="6" spans="1:5" ht="19.5" x14ac:dyDescent="0.55000000000000004">
      <c r="A6" s="9" t="s">
        <v>35</v>
      </c>
      <c r="B6" s="10" t="s">
        <v>541</v>
      </c>
      <c r="C6" s="10" t="s">
        <v>540</v>
      </c>
      <c r="D6" s="30">
        <v>2400000</v>
      </c>
      <c r="E6" s="25">
        <v>4200000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2E973-8C60-4556-B15C-E72BA170DC19}">
  <dimension ref="A1:C5"/>
  <sheetViews>
    <sheetView workbookViewId="0">
      <selection activeCell="C1" sqref="C1:C1048576"/>
    </sheetView>
  </sheetViews>
  <sheetFormatPr defaultRowHeight="15" x14ac:dyDescent="0.25"/>
  <cols>
    <col min="1" max="1" width="10" bestFit="1" customWidth="1"/>
    <col min="2" max="2" width="11.28515625" customWidth="1"/>
    <col min="3" max="3" width="22.42578125" style="26" customWidth="1"/>
  </cols>
  <sheetData>
    <row r="1" spans="1:3" ht="20.25" thickBot="1" x14ac:dyDescent="0.6">
      <c r="A1" s="6" t="s">
        <v>2</v>
      </c>
      <c r="B1" s="7" t="s">
        <v>542</v>
      </c>
      <c r="C1" s="23" t="s">
        <v>543</v>
      </c>
    </row>
    <row r="2" spans="1:3" ht="20.25" thickBot="1" x14ac:dyDescent="0.6">
      <c r="A2" s="3" t="s">
        <v>19</v>
      </c>
      <c r="B2" s="1" t="s">
        <v>544</v>
      </c>
      <c r="C2" s="24">
        <v>25000</v>
      </c>
    </row>
    <row r="3" spans="1:3" ht="20.25" thickBot="1" x14ac:dyDescent="0.6">
      <c r="A3" s="3" t="s">
        <v>23</v>
      </c>
      <c r="B3" s="1" t="s">
        <v>545</v>
      </c>
      <c r="C3" s="24">
        <v>35000</v>
      </c>
    </row>
    <row r="4" spans="1:3" ht="20.25" thickBot="1" x14ac:dyDescent="0.6">
      <c r="A4" s="3" t="s">
        <v>27</v>
      </c>
      <c r="B4" s="1" t="s">
        <v>544</v>
      </c>
      <c r="C4" s="24">
        <v>50000</v>
      </c>
    </row>
    <row r="5" spans="1:3" ht="19.5" x14ac:dyDescent="0.55000000000000004">
      <c r="A5" s="9" t="s">
        <v>31</v>
      </c>
      <c r="B5" s="10" t="s">
        <v>545</v>
      </c>
      <c r="C5" s="25">
        <v>65000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01918-F618-4F49-B287-6DCDFB242EB3}">
  <dimension ref="A1:C5"/>
  <sheetViews>
    <sheetView workbookViewId="0">
      <selection activeCell="B1" sqref="B1:B5"/>
    </sheetView>
  </sheetViews>
  <sheetFormatPr defaultRowHeight="15" x14ac:dyDescent="0.25"/>
  <cols>
    <col min="1" max="1" width="15.140625" bestFit="1" customWidth="1"/>
    <col min="2" max="2" width="18.7109375" bestFit="1" customWidth="1"/>
    <col min="3" max="3" width="60.140625" bestFit="1" customWidth="1"/>
  </cols>
  <sheetData>
    <row r="1" spans="1:3" ht="20.25" thickBot="1" x14ac:dyDescent="0.6">
      <c r="A1" s="6" t="s">
        <v>546</v>
      </c>
      <c r="B1" s="31" t="s">
        <v>547</v>
      </c>
      <c r="C1" s="8" t="s">
        <v>548</v>
      </c>
    </row>
    <row r="2" spans="1:3" ht="20.25" thickBot="1" x14ac:dyDescent="0.6">
      <c r="A2" s="3" t="s">
        <v>21</v>
      </c>
      <c r="B2" s="32">
        <v>0.1</v>
      </c>
      <c r="C2" s="4" t="s">
        <v>549</v>
      </c>
    </row>
    <row r="3" spans="1:3" ht="20.25" thickBot="1" x14ac:dyDescent="0.6">
      <c r="A3" s="3" t="s">
        <v>33</v>
      </c>
      <c r="B3" s="32">
        <v>0.2</v>
      </c>
      <c r="C3" s="4" t="s">
        <v>549</v>
      </c>
    </row>
    <row r="4" spans="1:3" ht="20.25" thickBot="1" x14ac:dyDescent="0.6">
      <c r="A4" s="3" t="s">
        <v>25</v>
      </c>
      <c r="B4" s="32">
        <v>0.3</v>
      </c>
      <c r="C4" s="4" t="s">
        <v>550</v>
      </c>
    </row>
    <row r="5" spans="1:3" ht="19.5" x14ac:dyDescent="0.55000000000000004">
      <c r="A5" s="9" t="s">
        <v>29</v>
      </c>
      <c r="B5" s="33">
        <v>0</v>
      </c>
      <c r="C5" s="13" t="s">
        <v>551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F205-A472-48BE-8BFF-99A604B10656}">
  <dimension ref="A3:J15"/>
  <sheetViews>
    <sheetView workbookViewId="0">
      <selection activeCell="K11" sqref="K11"/>
    </sheetView>
  </sheetViews>
  <sheetFormatPr defaultRowHeight="15" x14ac:dyDescent="0.25"/>
  <cols>
    <col min="1" max="1" width="13.7109375" bestFit="1" customWidth="1"/>
    <col min="2" max="2" width="10.7109375" bestFit="1" customWidth="1"/>
    <col min="3" max="3" width="17.7109375" bestFit="1" customWidth="1"/>
    <col min="4" max="4" width="26.140625" bestFit="1" customWidth="1"/>
    <col min="6" max="6" width="18.85546875" bestFit="1" customWidth="1"/>
    <col min="7" max="8" width="17.7109375" bestFit="1" customWidth="1"/>
    <col min="9" max="9" width="20.5703125" bestFit="1" customWidth="1"/>
    <col min="10" max="11" width="30.85546875" bestFit="1" customWidth="1"/>
  </cols>
  <sheetData>
    <row r="3" spans="1:10" x14ac:dyDescent="0.25">
      <c r="A3" s="41" t="s">
        <v>2</v>
      </c>
      <c r="B3" s="41" t="s">
        <v>7</v>
      </c>
      <c r="C3" t="s">
        <v>587</v>
      </c>
      <c r="D3" t="s">
        <v>588</v>
      </c>
      <c r="F3" s="41" t="s">
        <v>589</v>
      </c>
      <c r="G3" t="s">
        <v>587</v>
      </c>
      <c r="I3" s="41" t="s">
        <v>6</v>
      </c>
      <c r="J3" t="s">
        <v>602</v>
      </c>
    </row>
    <row r="4" spans="1:10" x14ac:dyDescent="0.25">
      <c r="A4" t="s">
        <v>19</v>
      </c>
      <c r="B4" t="s">
        <v>537</v>
      </c>
      <c r="C4" s="26">
        <v>36830000</v>
      </c>
      <c r="D4" s="42">
        <v>9.4771241830065414</v>
      </c>
      <c r="F4" t="s">
        <v>590</v>
      </c>
      <c r="G4" s="26"/>
      <c r="I4" t="s">
        <v>534</v>
      </c>
      <c r="J4" s="26">
        <v>2473200000</v>
      </c>
    </row>
    <row r="5" spans="1:10" x14ac:dyDescent="0.25">
      <c r="B5" t="s">
        <v>535</v>
      </c>
      <c r="C5" s="26">
        <v>210645000</v>
      </c>
      <c r="D5" s="42">
        <v>12.905092592592592</v>
      </c>
      <c r="F5" t="s">
        <v>591</v>
      </c>
      <c r="G5" s="26">
        <v>-15940000</v>
      </c>
      <c r="I5" t="s">
        <v>541</v>
      </c>
      <c r="J5" s="26">
        <v>912240000</v>
      </c>
    </row>
    <row r="6" spans="1:10" x14ac:dyDescent="0.25">
      <c r="B6" t="s">
        <v>540</v>
      </c>
      <c r="C6" s="26">
        <v>127850000</v>
      </c>
      <c r="D6" s="42">
        <v>17.75793650793651</v>
      </c>
      <c r="F6" t="s">
        <v>592</v>
      </c>
      <c r="G6" s="26">
        <v>4775000</v>
      </c>
      <c r="I6" t="s">
        <v>538</v>
      </c>
      <c r="J6" s="26">
        <v>847280000</v>
      </c>
    </row>
    <row r="7" spans="1:10" x14ac:dyDescent="0.25">
      <c r="A7" t="s">
        <v>31</v>
      </c>
      <c r="B7" t="s">
        <v>537</v>
      </c>
      <c r="C7" s="26">
        <v>27225000</v>
      </c>
      <c r="D7" s="42">
        <v>6.066176470588232</v>
      </c>
      <c r="F7" t="s">
        <v>593</v>
      </c>
      <c r="G7" s="26">
        <v>15520000</v>
      </c>
      <c r="I7" t="s">
        <v>539</v>
      </c>
      <c r="J7" s="26">
        <v>477330000</v>
      </c>
    </row>
    <row r="8" spans="1:10" x14ac:dyDescent="0.25">
      <c r="B8" t="s">
        <v>535</v>
      </c>
      <c r="C8" s="26">
        <v>96480000</v>
      </c>
      <c r="D8" s="42">
        <v>8.0004595588235272</v>
      </c>
      <c r="F8" t="s">
        <v>594</v>
      </c>
      <c r="G8" s="26">
        <v>-3320000</v>
      </c>
      <c r="I8" t="s">
        <v>536</v>
      </c>
      <c r="J8" s="26">
        <v>392615000</v>
      </c>
    </row>
    <row r="9" spans="1:10" x14ac:dyDescent="0.25">
      <c r="B9" t="s">
        <v>540</v>
      </c>
      <c r="C9" s="26">
        <v>83775000</v>
      </c>
      <c r="D9" s="42">
        <v>12.587797619047619</v>
      </c>
      <c r="F9" t="s">
        <v>595</v>
      </c>
      <c r="G9" s="26">
        <v>730000</v>
      </c>
    </row>
    <row r="10" spans="1:10" x14ac:dyDescent="0.25">
      <c r="A10" t="s">
        <v>27</v>
      </c>
      <c r="B10" t="s">
        <v>537</v>
      </c>
      <c r="C10" s="26">
        <v>14155000</v>
      </c>
      <c r="D10" s="42">
        <v>3.99159663865546</v>
      </c>
      <c r="F10" t="s">
        <v>596</v>
      </c>
      <c r="G10" s="26">
        <v>5120000</v>
      </c>
    </row>
    <row r="11" spans="1:10" x14ac:dyDescent="0.25">
      <c r="B11" t="s">
        <v>535</v>
      </c>
      <c r="C11" s="26">
        <v>278800000</v>
      </c>
      <c r="D11" s="42">
        <v>16.011029411764692</v>
      </c>
      <c r="F11" t="s">
        <v>597</v>
      </c>
      <c r="G11" s="26">
        <v>5460000</v>
      </c>
    </row>
    <row r="12" spans="1:10" x14ac:dyDescent="0.25">
      <c r="B12" t="s">
        <v>540</v>
      </c>
      <c r="C12" s="26">
        <v>169150000</v>
      </c>
      <c r="D12" s="42">
        <v>20.9404761904762</v>
      </c>
      <c r="F12" t="s">
        <v>598</v>
      </c>
      <c r="G12" s="26">
        <v>-22640000</v>
      </c>
    </row>
    <row r="13" spans="1:10" x14ac:dyDescent="0.25">
      <c r="A13" t="s">
        <v>23</v>
      </c>
      <c r="B13" t="s">
        <v>537</v>
      </c>
      <c r="C13" s="26">
        <v>17490000</v>
      </c>
      <c r="D13" s="42">
        <v>4.6218487394958014</v>
      </c>
      <c r="F13" t="s">
        <v>599</v>
      </c>
      <c r="G13" s="26">
        <v>10335000</v>
      </c>
    </row>
    <row r="14" spans="1:10" x14ac:dyDescent="0.25">
      <c r="B14" t="s">
        <v>535</v>
      </c>
      <c r="C14" s="26">
        <v>201285000</v>
      </c>
      <c r="D14" s="42">
        <v>9.7922794117647083</v>
      </c>
      <c r="F14" t="s">
        <v>600</v>
      </c>
      <c r="G14" s="26">
        <v>7605000</v>
      </c>
    </row>
    <row r="15" spans="1:10" x14ac:dyDescent="0.25">
      <c r="B15" t="s">
        <v>540</v>
      </c>
      <c r="C15" s="26">
        <v>49945000</v>
      </c>
      <c r="D15" s="42">
        <v>8.2908163265306118</v>
      </c>
      <c r="F15" t="s">
        <v>601</v>
      </c>
      <c r="G15" s="26">
        <v>15535000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47E9-E9BA-4B25-B30E-D7F881B270F8}">
  <dimension ref="A1:D12"/>
  <sheetViews>
    <sheetView tabSelected="1" workbookViewId="0">
      <selection activeCell="D7" sqref="D7"/>
    </sheetView>
  </sheetViews>
  <sheetFormatPr defaultRowHeight="19.5" x14ac:dyDescent="0.55000000000000004"/>
  <cols>
    <col min="1" max="1" width="14.7109375" style="14" bestFit="1" customWidth="1"/>
    <col min="2" max="2" width="33" style="14" bestFit="1" customWidth="1"/>
    <col min="3" max="3" width="50.7109375" style="14" customWidth="1"/>
    <col min="4" max="4" width="52.5703125" style="14" bestFit="1" customWidth="1"/>
    <col min="5" max="16384" width="9.140625" style="14"/>
  </cols>
  <sheetData>
    <row r="1" spans="1:4" ht="20.25" thickBot="1" x14ac:dyDescent="0.6">
      <c r="A1" s="15" t="s">
        <v>552</v>
      </c>
    </row>
    <row r="2" spans="1:4" ht="20.25" thickBot="1" x14ac:dyDescent="0.6">
      <c r="A2" s="15" t="s">
        <v>553</v>
      </c>
    </row>
    <row r="4" spans="1:4" x14ac:dyDescent="0.55000000000000004">
      <c r="A4" s="16" t="s">
        <v>554</v>
      </c>
    </row>
    <row r="5" spans="1:4" ht="20.25" thickBot="1" x14ac:dyDescent="0.6">
      <c r="A5" s="6" t="s">
        <v>555</v>
      </c>
      <c r="B5" s="7" t="s">
        <v>556</v>
      </c>
      <c r="C5" s="7" t="s">
        <v>557</v>
      </c>
      <c r="D5" s="8" t="s">
        <v>558</v>
      </c>
    </row>
    <row r="6" spans="1:4" ht="117.75" thickBot="1" x14ac:dyDescent="0.6">
      <c r="A6" s="34" t="s">
        <v>559</v>
      </c>
      <c r="B6" s="35" t="s">
        <v>560</v>
      </c>
      <c r="C6" s="35" t="s">
        <v>561</v>
      </c>
      <c r="D6" s="36" t="s">
        <v>562</v>
      </c>
    </row>
    <row r="7" spans="1:4" ht="98.25" thickBot="1" x14ac:dyDescent="0.6">
      <c r="A7" s="34" t="s">
        <v>563</v>
      </c>
      <c r="B7" s="35" t="s">
        <v>564</v>
      </c>
      <c r="C7" s="35" t="s">
        <v>565</v>
      </c>
      <c r="D7" s="36" t="s">
        <v>566</v>
      </c>
    </row>
    <row r="8" spans="1:4" ht="59.25" thickBot="1" x14ac:dyDescent="0.6">
      <c r="A8" s="34" t="s">
        <v>567</v>
      </c>
      <c r="B8" s="35" t="s">
        <v>568</v>
      </c>
      <c r="C8" s="35" t="s">
        <v>569</v>
      </c>
      <c r="D8" s="36" t="s">
        <v>570</v>
      </c>
    </row>
    <row r="9" spans="1:4" ht="98.25" thickBot="1" x14ac:dyDescent="0.6">
      <c r="A9" s="34" t="s">
        <v>571</v>
      </c>
      <c r="B9" s="35" t="s">
        <v>572</v>
      </c>
      <c r="C9" s="35" t="s">
        <v>573</v>
      </c>
      <c r="D9" s="36" t="s">
        <v>574</v>
      </c>
    </row>
    <row r="10" spans="1:4" ht="176.25" thickBot="1" x14ac:dyDescent="0.6">
      <c r="A10" s="34" t="s">
        <v>575</v>
      </c>
      <c r="B10" s="35" t="s">
        <v>576</v>
      </c>
      <c r="C10" s="35" t="s">
        <v>577</v>
      </c>
      <c r="D10" s="36" t="s">
        <v>578</v>
      </c>
    </row>
    <row r="11" spans="1:4" ht="117.75" thickBot="1" x14ac:dyDescent="0.6">
      <c r="A11" s="34" t="s">
        <v>579</v>
      </c>
      <c r="B11" s="35" t="s">
        <v>580</v>
      </c>
      <c r="C11" s="35" t="s">
        <v>581</v>
      </c>
      <c r="D11" s="36" t="s">
        <v>582</v>
      </c>
    </row>
    <row r="12" spans="1:4" ht="136.5" x14ac:dyDescent="0.55000000000000004">
      <c r="A12" s="17" t="s">
        <v>583</v>
      </c>
      <c r="B12" s="18" t="s">
        <v>584</v>
      </c>
      <c r="C12" s="18" t="s">
        <v>585</v>
      </c>
      <c r="D12" s="19" t="s">
        <v>586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F0D9-1060-45F4-9C12-4DBC7EB60C1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penjualan</vt:lpstr>
      <vt:lpstr>produk</vt:lpstr>
      <vt:lpstr>wilayah</vt:lpstr>
      <vt:lpstr>promo</vt:lpstr>
      <vt:lpstr>analisis</vt:lpstr>
      <vt:lpstr>soal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Aldy Ngere</dc:creator>
  <cp:lastModifiedBy>Aldy Ngere</cp:lastModifiedBy>
  <dcterms:created xsi:type="dcterms:W3CDTF">2026-09-13T15:25:29Z</dcterms:created>
  <dcterms:modified xsi:type="dcterms:W3CDTF">2026-09-14T17:00:33Z</dcterms:modified>
</cp:coreProperties>
</file>